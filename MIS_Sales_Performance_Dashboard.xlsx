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Product_Master" sheetId="3" state="visible" r:id="rId3"/>
    <sheet xmlns:r="http://schemas.openxmlformats.org/officeDocument/2006/relationships" name="Sales_Analysis" sheetId="4" state="visible" r:id="rId4"/>
    <sheet xmlns:r="http://schemas.openxmlformats.org/officeDocument/2006/relationships" name="Monthly_Report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mmm-yyyy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4" fillId="4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'Dashboard'!$A$11:$A$15</f>
            </numRef>
          </cat>
          <val>
            <numRef>
              <f>'Dashboard'!$B$11:$B$15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'Monthly_Report'!B1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'Monthly_Report'!$A$2:$A$10</f>
            </numRef>
          </cat>
          <val>
            <numRef>
              <f>'Monthly_Report'!$B$2:$B$10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M181" headerRowCount="1">
  <autoFilter ref="A1:M181"/>
  <tableColumns count="13">
    <tableColumn id="1" name="Sales_ID"/>
    <tableColumn id="2" name="Date"/>
    <tableColumn id="3" name="Product_ID"/>
    <tableColumn id="4" name="Product_Name"/>
    <tableColumn id="5" name="Category"/>
    <tableColumn id="6" name="Division"/>
    <tableColumn id="7" name="Qty"/>
    <tableColumn id="8" name="Unit_Price"/>
    <tableColumn id="9" name="Discount"/>
    <tableColumn id="10" name="Net_Sales"/>
    <tableColumn id="11" name="Region"/>
    <tableColumn id="12" name="Salesperson"/>
    <tableColumn id="13" name="Custom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Master" displayName="ProductMaster" ref="A1:E11" headerRowCount="1">
  <autoFilter ref="A1:E11"/>
  <tableColumns count="5">
    <tableColumn id="1" name="Product_ID"/>
    <tableColumn id="2" name="Product_Name"/>
    <tableColumn id="3" name="Category"/>
    <tableColumn id="4" name="Division"/>
    <tableColumn id="5" name="Uni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Analysis" displayName="SalesAnalysis" ref="A1:G11" headerRowCount="1">
  <autoFilter ref="A1:G11"/>
  <tableColumns count="7">
    <tableColumn id="1" name="Product_ID"/>
    <tableColumn id="2" name="Product_Name"/>
    <tableColumn id="3" name="Category"/>
    <tableColumn id="4" name="Units Sold"/>
    <tableColumn id="5" name="Gross Sales"/>
    <tableColumn id="6" name="Net Sales"/>
    <tableColumn id="7" name="Avg Selling 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nthlyReport" displayName="MonthlyReport" ref="A1:E10" headerRowCount="1">
  <autoFilter ref="A1:E10"/>
  <tableColumns count="5">
    <tableColumn id="1" name="Month"/>
    <tableColumn id="2" name="Net Sales"/>
    <tableColumn id="3" name="Units"/>
    <tableColumn id="4" name="Transactions"/>
    <tableColumn id="5" name="Avg Order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SALES PERFORMANCE &amp; MIS DASHBOARD</t>
        </is>
      </c>
    </row>
    <row r="2">
      <c r="B2" s="2" t="inlineStr">
        <is>
          <t>Total Sales</t>
        </is>
      </c>
      <c r="D2" s="2" t="inlineStr">
        <is>
          <t>Units Sold</t>
        </is>
      </c>
      <c r="F2" s="2" t="inlineStr">
        <is>
          <t>Transactions</t>
        </is>
      </c>
      <c r="H2" s="2" t="inlineStr">
        <is>
          <t>Avg Order Value</t>
        </is>
      </c>
    </row>
    <row r="3">
      <c r="B3" s="3">
        <f>SUM(Sales_Data!$J:$J)</f>
        <v/>
      </c>
      <c r="D3" s="3">
        <f>SUM(Sales_Data!$G:$G)</f>
        <v/>
      </c>
      <c r="F3" s="3">
        <f>COUNTA(Sales_Data!$A:$A)-1</f>
        <v/>
      </c>
      <c r="H3" s="3">
        <f>AVERAGE(Sales_Data!$J$2:$J$181)</f>
        <v/>
      </c>
    </row>
    <row r="6">
      <c r="A6" s="4" t="inlineStr">
        <is>
          <t>Top Product by Sales</t>
        </is>
      </c>
      <c r="B6">
        <f>INDEX(Sales_Analysis!$B$2:$B$11,MATCH(MAX(Sales_Analysis!$F$2:$F$11),Sales_Analysis!$F$2:$F$11,0))</f>
        <v/>
      </c>
    </row>
    <row r="7">
      <c r="A7" s="4" t="inlineStr">
        <is>
          <t>Top Region</t>
        </is>
      </c>
    </row>
    <row r="10">
      <c r="A10" s="5" t="inlineStr">
        <is>
          <t>Region</t>
        </is>
      </c>
      <c r="B10" s="5" t="inlineStr">
        <is>
          <t>Sales</t>
        </is>
      </c>
    </row>
    <row r="11">
      <c r="A11" t="inlineStr">
        <is>
          <t>Dhaka</t>
        </is>
      </c>
      <c r="B11">
        <f>SUMIF(Sales_Data!$K:$K,A11,Sales_Data!$J:$J)</f>
        <v/>
      </c>
    </row>
    <row r="12">
      <c r="A12" t="inlineStr">
        <is>
          <t>Chattogram</t>
        </is>
      </c>
      <c r="B12">
        <f>SUMIF(Sales_Data!$K:$K,A12,Sales_Data!$J:$J)</f>
        <v/>
      </c>
    </row>
    <row r="13">
      <c r="A13" t="inlineStr">
        <is>
          <t>Sylhet</t>
        </is>
      </c>
      <c r="B13">
        <f>SUMIF(Sales_Data!$K:$K,A13,Sales_Data!$J:$J)</f>
        <v/>
      </c>
    </row>
    <row r="14">
      <c r="A14" t="inlineStr">
        <is>
          <t>Rajshahi</t>
        </is>
      </c>
      <c r="B14">
        <f>SUMIF(Sales_Data!$K:$K,A14,Sales_Data!$J:$J)</f>
        <v/>
      </c>
    </row>
    <row r="15">
      <c r="A15" t="inlineStr">
        <is>
          <t>Khulna</t>
        </is>
      </c>
      <c r="B15">
        <f>SUMIF(Sales_Data!$K:$K,A15,Sales_Data!$J:$J)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13" customWidth="1" min="6" max="6"/>
    <col width="5" customWidth="1" min="7" max="7"/>
    <col width="12" customWidth="1" min="8" max="8"/>
    <col width="10" customWidth="1" min="9" max="9"/>
    <col width="11" customWidth="1" min="10" max="10"/>
    <col width="12" customWidth="1" min="11" max="11"/>
    <col width="16" customWidth="1" min="12" max="12"/>
    <col width="17" customWidth="1" min="13" max="13"/>
  </cols>
  <sheetData>
    <row r="1">
      <c r="A1" s="5" t="inlineStr">
        <is>
          <t>Sales_ID</t>
        </is>
      </c>
      <c r="B1" s="5" t="inlineStr">
        <is>
          <t>Date</t>
        </is>
      </c>
      <c r="C1" s="5" t="inlineStr">
        <is>
          <t>Product_ID</t>
        </is>
      </c>
      <c r="D1" s="5" t="inlineStr">
        <is>
          <t>Product_Name</t>
        </is>
      </c>
      <c r="E1" s="5" t="inlineStr">
        <is>
          <t>Category</t>
        </is>
      </c>
      <c r="F1" s="5" t="inlineStr">
        <is>
          <t>Division</t>
        </is>
      </c>
      <c r="G1" s="5" t="inlineStr">
        <is>
          <t>Qty</t>
        </is>
      </c>
      <c r="H1" s="5" t="inlineStr">
        <is>
          <t>Unit_Price</t>
        </is>
      </c>
      <c r="I1" s="5" t="inlineStr">
        <is>
          <t>Discount</t>
        </is>
      </c>
      <c r="J1" s="5" t="inlineStr">
        <is>
          <t>Net_Sales</t>
        </is>
      </c>
      <c r="K1" s="5" t="inlineStr">
        <is>
          <t>Region</t>
        </is>
      </c>
      <c r="L1" s="5" t="inlineStr">
        <is>
          <t>Salesperson</t>
        </is>
      </c>
      <c r="M1" s="5" t="inlineStr">
        <is>
          <t>Customer</t>
        </is>
      </c>
    </row>
    <row r="2">
      <c r="A2" t="inlineStr">
        <is>
          <t>S0001</t>
        </is>
      </c>
      <c r="B2" s="6" t="n">
        <v>46080</v>
      </c>
      <c r="C2" t="inlineStr">
        <is>
          <t>P001</t>
        </is>
      </c>
      <c r="D2" t="inlineStr">
        <is>
          <t>Laptop Pro 14</t>
        </is>
      </c>
      <c r="E2" t="inlineStr">
        <is>
          <t>Laptop</t>
        </is>
      </c>
      <c r="F2" t="inlineStr">
        <is>
          <t>Computer</t>
        </is>
      </c>
      <c r="G2" t="n">
        <v>5</v>
      </c>
      <c r="H2" s="7" t="n">
        <v>78000</v>
      </c>
      <c r="I2" s="8" t="n">
        <v>0</v>
      </c>
      <c r="J2" s="7" t="n">
        <v>390000</v>
      </c>
      <c r="K2" t="inlineStr">
        <is>
          <t>Chattogram</t>
        </is>
      </c>
      <c r="L2" t="inlineStr">
        <is>
          <t>Nusrat Jahan</t>
        </is>
      </c>
      <c r="M2" t="inlineStr">
        <is>
          <t>Delta Garments</t>
        </is>
      </c>
    </row>
    <row r="3">
      <c r="A3" t="inlineStr">
        <is>
          <t>S0002</t>
        </is>
      </c>
      <c r="B3" s="6" t="n">
        <v>46067</v>
      </c>
      <c r="C3" t="inlineStr">
        <is>
          <t>P010</t>
        </is>
      </c>
      <c r="D3" t="inlineStr">
        <is>
          <t>Projector HD</t>
        </is>
      </c>
      <c r="E3" t="inlineStr">
        <is>
          <t>Projector</t>
        </is>
      </c>
      <c r="F3" t="inlineStr">
        <is>
          <t>Electronics</t>
        </is>
      </c>
      <c r="G3" t="n">
        <v>7</v>
      </c>
      <c r="H3" s="7" t="n">
        <v>32000</v>
      </c>
      <c r="I3" s="8" t="n">
        <v>0</v>
      </c>
      <c r="J3" s="7" t="n">
        <v>224000</v>
      </c>
      <c r="K3" t="inlineStr">
        <is>
          <t>Dhaka</t>
        </is>
      </c>
      <c r="L3" t="inlineStr">
        <is>
          <t>Arafat Hossain</t>
        </is>
      </c>
      <c r="M3" t="inlineStr">
        <is>
          <t>Prime Solutions</t>
        </is>
      </c>
    </row>
    <row r="4">
      <c r="A4" t="inlineStr">
        <is>
          <t>S0003</t>
        </is>
      </c>
      <c r="B4" s="6" t="n">
        <v>46142</v>
      </c>
      <c r="C4" t="inlineStr">
        <is>
          <t>P009</t>
        </is>
      </c>
      <c r="D4" t="inlineStr">
        <is>
          <t>UPS 1200VA</t>
        </is>
      </c>
      <c r="E4" t="inlineStr">
        <is>
          <t>Power</t>
        </is>
      </c>
      <c r="F4" t="inlineStr">
        <is>
          <t>Electronics</t>
        </is>
      </c>
      <c r="G4" t="n">
        <v>1</v>
      </c>
      <c r="H4" s="7" t="n">
        <v>9500</v>
      </c>
      <c r="I4" s="8" t="n">
        <v>0.08</v>
      </c>
      <c r="J4" s="7" t="n">
        <v>8740</v>
      </c>
      <c r="K4" t="inlineStr">
        <is>
          <t>Chattogram</t>
        </is>
      </c>
      <c r="L4" t="inlineStr">
        <is>
          <t>Sakib Ahmed</t>
        </is>
      </c>
      <c r="M4" t="inlineStr">
        <is>
          <t>Sunrise Pharma</t>
        </is>
      </c>
    </row>
    <row r="5">
      <c r="A5" t="inlineStr">
        <is>
          <t>S0004</t>
        </is>
      </c>
      <c r="B5" s="6" t="n">
        <v>46135</v>
      </c>
      <c r="C5" t="inlineStr">
        <is>
          <t>P008</t>
        </is>
      </c>
      <c r="D5" t="inlineStr">
        <is>
          <t>Executive Desk</t>
        </is>
      </c>
      <c r="E5" t="inlineStr">
        <is>
          <t>Furniture</t>
        </is>
      </c>
      <c r="F5" t="inlineStr">
        <is>
          <t>Office</t>
        </is>
      </c>
      <c r="G5" t="n">
        <v>5</v>
      </c>
      <c r="H5" s="7" t="n">
        <v>28500</v>
      </c>
      <c r="I5" s="8" t="n">
        <v>0</v>
      </c>
      <c r="J5" s="7" t="n">
        <v>142500</v>
      </c>
      <c r="K5" t="inlineStr">
        <is>
          <t>Chattogram</t>
        </is>
      </c>
      <c r="L5" t="inlineStr">
        <is>
          <t>Maliha Karim</t>
        </is>
      </c>
      <c r="M5" t="inlineStr">
        <is>
          <t>Metro Holdings</t>
        </is>
      </c>
    </row>
    <row r="6">
      <c r="A6" t="inlineStr">
        <is>
          <t>S0005</t>
        </is>
      </c>
      <c r="B6" s="6" t="n">
        <v>46165</v>
      </c>
      <c r="C6" t="inlineStr">
        <is>
          <t>P003</t>
        </is>
      </c>
      <c r="D6" t="inlineStr">
        <is>
          <t>Office Monitor 24</t>
        </is>
      </c>
      <c r="E6" t="inlineStr">
        <is>
          <t>Monitor</t>
        </is>
      </c>
      <c r="F6" t="inlineStr">
        <is>
          <t>Computer</t>
        </is>
      </c>
      <c r="G6" t="n">
        <v>4</v>
      </c>
      <c r="H6" s="7" t="n">
        <v>18500</v>
      </c>
      <c r="I6" s="8" t="n">
        <v>0.03</v>
      </c>
      <c r="J6" s="7" t="n">
        <v>71780</v>
      </c>
      <c r="K6" t="inlineStr">
        <is>
          <t>Dhaka</t>
        </is>
      </c>
      <c r="L6" t="inlineStr">
        <is>
          <t>Arafat Hossain</t>
        </is>
      </c>
      <c r="M6" t="inlineStr">
        <is>
          <t>Sunrise Pharma</t>
        </is>
      </c>
    </row>
    <row r="7">
      <c r="A7" t="inlineStr">
        <is>
          <t>S0006</t>
        </is>
      </c>
      <c r="B7" s="6" t="n">
        <v>46072</v>
      </c>
      <c r="C7" t="inlineStr">
        <is>
          <t>P006</t>
        </is>
      </c>
      <c r="D7" t="inlineStr">
        <is>
          <t>Laser Printer</t>
        </is>
      </c>
      <c r="E7" t="inlineStr">
        <is>
          <t>Printer</t>
        </is>
      </c>
      <c r="F7" t="inlineStr">
        <is>
          <t>Office</t>
        </is>
      </c>
      <c r="G7" t="n">
        <v>6</v>
      </c>
      <c r="H7" s="7" t="n">
        <v>21500</v>
      </c>
      <c r="I7" s="8" t="n">
        <v>0.08</v>
      </c>
      <c r="J7" s="7" t="n">
        <v>118680</v>
      </c>
      <c r="K7" t="inlineStr">
        <is>
          <t>Sylhet</t>
        </is>
      </c>
      <c r="L7" t="inlineStr">
        <is>
          <t>Arafat Hossain</t>
        </is>
      </c>
      <c r="M7" t="inlineStr">
        <is>
          <t>Eastland Group</t>
        </is>
      </c>
    </row>
    <row r="8">
      <c r="A8" t="inlineStr">
        <is>
          <t>S0007</t>
        </is>
      </c>
      <c r="B8" s="6" t="n">
        <v>46086</v>
      </c>
      <c r="C8" t="inlineStr">
        <is>
          <t>P007</t>
        </is>
      </c>
      <c r="D8" t="inlineStr">
        <is>
          <t>Office Chair</t>
        </is>
      </c>
      <c r="E8" t="inlineStr">
        <is>
          <t>Furniture</t>
        </is>
      </c>
      <c r="F8" t="inlineStr">
        <is>
          <t>Office</t>
        </is>
      </c>
      <c r="G8" t="n">
        <v>2</v>
      </c>
      <c r="H8" s="7" t="n">
        <v>12500</v>
      </c>
      <c r="I8" s="8" t="n">
        <v>0.08</v>
      </c>
      <c r="J8" s="7" t="n">
        <v>23000</v>
      </c>
      <c r="K8" t="inlineStr">
        <is>
          <t>Sylhet</t>
        </is>
      </c>
      <c r="L8" t="inlineStr">
        <is>
          <t>Sakib Ahmed</t>
        </is>
      </c>
      <c r="M8" t="inlineStr">
        <is>
          <t>Metro Holdings</t>
        </is>
      </c>
    </row>
    <row r="9">
      <c r="A9" t="inlineStr">
        <is>
          <t>S0008</t>
        </is>
      </c>
      <c r="B9" s="6" t="n">
        <v>46121</v>
      </c>
      <c r="C9" t="inlineStr">
        <is>
          <t>P002</t>
        </is>
      </c>
      <c r="D9" t="inlineStr">
        <is>
          <t>Business Laptop 15</t>
        </is>
      </c>
      <c r="E9" t="inlineStr">
        <is>
          <t>Laptop</t>
        </is>
      </c>
      <c r="F9" t="inlineStr">
        <is>
          <t>Computer</t>
        </is>
      </c>
      <c r="G9" t="n">
        <v>1</v>
      </c>
      <c r="H9" s="7" t="n">
        <v>62000</v>
      </c>
      <c r="I9" s="8" t="n">
        <v>0.1</v>
      </c>
      <c r="J9" s="7" t="n">
        <v>55800</v>
      </c>
      <c r="K9" t="inlineStr">
        <is>
          <t>Chattogram</t>
        </is>
      </c>
      <c r="L9" t="inlineStr">
        <is>
          <t>Tanvir Rahman</t>
        </is>
      </c>
      <c r="M9" t="inlineStr">
        <is>
          <t>Delta Garments</t>
        </is>
      </c>
    </row>
    <row r="10">
      <c r="A10" t="inlineStr">
        <is>
          <t>S0009</t>
        </is>
      </c>
      <c r="B10" s="6" t="n">
        <v>46142</v>
      </c>
      <c r="C10" t="inlineStr">
        <is>
          <t>P002</t>
        </is>
      </c>
      <c r="D10" t="inlineStr">
        <is>
          <t>Business Laptop 15</t>
        </is>
      </c>
      <c r="E10" t="inlineStr">
        <is>
          <t>Laptop</t>
        </is>
      </c>
      <c r="F10" t="inlineStr">
        <is>
          <t>Computer</t>
        </is>
      </c>
      <c r="G10" t="n">
        <v>7</v>
      </c>
      <c r="H10" s="7" t="n">
        <v>62000</v>
      </c>
      <c r="I10" s="8" t="n">
        <v>0.03</v>
      </c>
      <c r="J10" s="7" t="n">
        <v>420980</v>
      </c>
      <c r="K10" t="inlineStr">
        <is>
          <t>Rajshahi</t>
        </is>
      </c>
      <c r="L10" t="inlineStr">
        <is>
          <t>Tanvir Rahman</t>
        </is>
      </c>
      <c r="M10" t="inlineStr">
        <is>
          <t>Nova Ltd.</t>
        </is>
      </c>
    </row>
    <row r="11">
      <c r="A11" t="inlineStr">
        <is>
          <t>S0010</t>
        </is>
      </c>
      <c r="B11" s="6" t="n">
        <v>46212</v>
      </c>
      <c r="C11" t="inlineStr">
        <is>
          <t>P006</t>
        </is>
      </c>
      <c r="D11" t="inlineStr">
        <is>
          <t>Laser Printer</t>
        </is>
      </c>
      <c r="E11" t="inlineStr">
        <is>
          <t>Printer</t>
        </is>
      </c>
      <c r="F11" t="inlineStr">
        <is>
          <t>Office</t>
        </is>
      </c>
      <c r="G11" t="n">
        <v>4</v>
      </c>
      <c r="H11" s="7" t="n">
        <v>21500</v>
      </c>
      <c r="I11" s="8" t="n">
        <v>0.1</v>
      </c>
      <c r="J11" s="7" t="n">
        <v>77400</v>
      </c>
      <c r="K11" t="inlineStr">
        <is>
          <t>Sylhet</t>
        </is>
      </c>
      <c r="L11" t="inlineStr">
        <is>
          <t>Arafat Hossain</t>
        </is>
      </c>
      <c r="M11" t="inlineStr">
        <is>
          <t>Nova Ltd.</t>
        </is>
      </c>
    </row>
    <row r="12">
      <c r="A12" t="inlineStr">
        <is>
          <t>S0011</t>
        </is>
      </c>
      <c r="B12" s="6" t="n">
        <v>46148</v>
      </c>
      <c r="C12" t="inlineStr">
        <is>
          <t>P003</t>
        </is>
      </c>
      <c r="D12" t="inlineStr">
        <is>
          <t>Office Monitor 24</t>
        </is>
      </c>
      <c r="E12" t="inlineStr">
        <is>
          <t>Monitor</t>
        </is>
      </c>
      <c r="F12" t="inlineStr">
        <is>
          <t>Computer</t>
        </is>
      </c>
      <c r="G12" t="n">
        <v>8</v>
      </c>
      <c r="H12" s="7" t="n">
        <v>18500</v>
      </c>
      <c r="I12" s="8" t="n">
        <v>0.05</v>
      </c>
      <c r="J12" s="7" t="n">
        <v>140600</v>
      </c>
      <c r="K12" t="inlineStr">
        <is>
          <t>Sylhet</t>
        </is>
      </c>
      <c r="L12" t="inlineStr">
        <is>
          <t>Sakib Ahmed</t>
        </is>
      </c>
      <c r="M12" t="inlineStr">
        <is>
          <t>Prime Solutions</t>
        </is>
      </c>
    </row>
    <row r="13">
      <c r="A13" t="inlineStr">
        <is>
          <t>S0012</t>
        </is>
      </c>
      <c r="B13" s="6" t="n">
        <v>46189</v>
      </c>
      <c r="C13" t="inlineStr">
        <is>
          <t>P001</t>
        </is>
      </c>
      <c r="D13" t="inlineStr">
        <is>
          <t>Laptop Pro 14</t>
        </is>
      </c>
      <c r="E13" t="inlineStr">
        <is>
          <t>Laptop</t>
        </is>
      </c>
      <c r="F13" t="inlineStr">
        <is>
          <t>Computer</t>
        </is>
      </c>
      <c r="G13" t="n">
        <v>4</v>
      </c>
      <c r="H13" s="7" t="n">
        <v>78000</v>
      </c>
      <c r="I13" s="8" t="n">
        <v>0</v>
      </c>
      <c r="J13" s="7" t="n">
        <v>312000</v>
      </c>
      <c r="K13" t="inlineStr">
        <is>
          <t>Sylhet</t>
        </is>
      </c>
      <c r="L13" t="inlineStr">
        <is>
          <t>Maliha Karim</t>
        </is>
      </c>
      <c r="M13" t="inlineStr">
        <is>
          <t>GreenTech</t>
        </is>
      </c>
    </row>
    <row r="14">
      <c r="A14" t="inlineStr">
        <is>
          <t>S0013</t>
        </is>
      </c>
      <c r="B14" s="6" t="n">
        <v>46056</v>
      </c>
      <c r="C14" t="inlineStr">
        <is>
          <t>P004</t>
        </is>
      </c>
      <c r="D14" t="inlineStr">
        <is>
          <t>Wireless Keyboard</t>
        </is>
      </c>
      <c r="E14" t="inlineStr">
        <is>
          <t>Accessories</t>
        </is>
      </c>
      <c r="F14" t="inlineStr">
        <is>
          <t>Computer</t>
        </is>
      </c>
      <c r="G14" t="n">
        <v>6</v>
      </c>
      <c r="H14" s="7" t="n">
        <v>2500</v>
      </c>
      <c r="I14" s="8" t="n">
        <v>0</v>
      </c>
      <c r="J14" s="7" t="n">
        <v>15000</v>
      </c>
      <c r="K14" t="inlineStr">
        <is>
          <t>Rajshahi</t>
        </is>
      </c>
      <c r="L14" t="inlineStr">
        <is>
          <t>Maliha Karim</t>
        </is>
      </c>
      <c r="M14" t="inlineStr">
        <is>
          <t>Eastland Group</t>
        </is>
      </c>
    </row>
    <row r="15">
      <c r="A15" t="inlineStr">
        <is>
          <t>S0014</t>
        </is>
      </c>
      <c r="B15" s="6" t="n">
        <v>46096</v>
      </c>
      <c r="C15" t="inlineStr">
        <is>
          <t>P005</t>
        </is>
      </c>
      <c r="D15" t="inlineStr">
        <is>
          <t>Wireless Mouse</t>
        </is>
      </c>
      <c r="E15" t="inlineStr">
        <is>
          <t>Accessories</t>
        </is>
      </c>
      <c r="F15" t="inlineStr">
        <is>
          <t>Computer</t>
        </is>
      </c>
      <c r="G15" t="n">
        <v>3</v>
      </c>
      <c r="H15" s="7" t="n">
        <v>1400</v>
      </c>
      <c r="I15" s="8" t="n">
        <v>0</v>
      </c>
      <c r="J15" s="7" t="n">
        <v>4200</v>
      </c>
      <c r="K15" t="inlineStr">
        <is>
          <t>Khulna</t>
        </is>
      </c>
      <c r="L15" t="inlineStr">
        <is>
          <t>Sakib Ahmed</t>
        </is>
      </c>
      <c r="M15" t="inlineStr">
        <is>
          <t>GreenTech</t>
        </is>
      </c>
    </row>
    <row r="16">
      <c r="A16" t="inlineStr">
        <is>
          <t>S0015</t>
        </is>
      </c>
      <c r="B16" s="6" t="n">
        <v>46242</v>
      </c>
      <c r="C16" t="inlineStr">
        <is>
          <t>P010</t>
        </is>
      </c>
      <c r="D16" t="inlineStr">
        <is>
          <t>Projector HD</t>
        </is>
      </c>
      <c r="E16" t="inlineStr">
        <is>
          <t>Projector</t>
        </is>
      </c>
      <c r="F16" t="inlineStr">
        <is>
          <t>Electronics</t>
        </is>
      </c>
      <c r="G16" t="n">
        <v>7</v>
      </c>
      <c r="H16" s="7" t="n">
        <v>32000</v>
      </c>
      <c r="I16" s="8" t="n">
        <v>0.03</v>
      </c>
      <c r="J16" s="7" t="n">
        <v>217280</v>
      </c>
      <c r="K16" t="inlineStr">
        <is>
          <t>Chattogram</t>
        </is>
      </c>
      <c r="L16" t="inlineStr">
        <is>
          <t>Nusrat Jahan</t>
        </is>
      </c>
      <c r="M16" t="inlineStr">
        <is>
          <t>Eastland Group</t>
        </is>
      </c>
    </row>
    <row r="17">
      <c r="A17" t="inlineStr">
        <is>
          <t>S0016</t>
        </is>
      </c>
      <c r="B17" s="6" t="n">
        <v>46069</v>
      </c>
      <c r="C17" t="inlineStr">
        <is>
          <t>P001</t>
        </is>
      </c>
      <c r="D17" t="inlineStr">
        <is>
          <t>Laptop Pro 14</t>
        </is>
      </c>
      <c r="E17" t="inlineStr">
        <is>
          <t>Laptop</t>
        </is>
      </c>
      <c r="F17" t="inlineStr">
        <is>
          <t>Computer</t>
        </is>
      </c>
      <c r="G17" t="n">
        <v>2</v>
      </c>
      <c r="H17" s="7" t="n">
        <v>78000</v>
      </c>
      <c r="I17" s="8" t="n">
        <v>0</v>
      </c>
      <c r="J17" s="7" t="n">
        <v>156000</v>
      </c>
      <c r="K17" t="inlineStr">
        <is>
          <t>Chattogram</t>
        </is>
      </c>
      <c r="L17" t="inlineStr">
        <is>
          <t>Maliha Karim</t>
        </is>
      </c>
      <c r="M17" t="inlineStr">
        <is>
          <t>Delta Garments</t>
        </is>
      </c>
    </row>
    <row r="18">
      <c r="A18" t="inlineStr">
        <is>
          <t>S0017</t>
        </is>
      </c>
      <c r="B18" s="6" t="n">
        <v>46220</v>
      </c>
      <c r="C18" t="inlineStr">
        <is>
          <t>P007</t>
        </is>
      </c>
      <c r="D18" t="inlineStr">
        <is>
          <t>Office Chair</t>
        </is>
      </c>
      <c r="E18" t="inlineStr">
        <is>
          <t>Furniture</t>
        </is>
      </c>
      <c r="F18" t="inlineStr">
        <is>
          <t>Office</t>
        </is>
      </c>
      <c r="G18" t="n">
        <v>8</v>
      </c>
      <c r="H18" s="7" t="n">
        <v>12500</v>
      </c>
      <c r="I18" s="8" t="n">
        <v>0.08</v>
      </c>
      <c r="J18" s="7" t="n">
        <v>92000</v>
      </c>
      <c r="K18" t="inlineStr">
        <is>
          <t>Sylhet</t>
        </is>
      </c>
      <c r="L18" t="inlineStr">
        <is>
          <t>Sakib Ahmed</t>
        </is>
      </c>
      <c r="M18" t="inlineStr">
        <is>
          <t>ABC Trading</t>
        </is>
      </c>
    </row>
    <row r="19">
      <c r="A19" t="inlineStr">
        <is>
          <t>S0018</t>
        </is>
      </c>
      <c r="B19" s="6" t="n">
        <v>46081</v>
      </c>
      <c r="C19" t="inlineStr">
        <is>
          <t>P009</t>
        </is>
      </c>
      <c r="D19" t="inlineStr">
        <is>
          <t>UPS 1200VA</t>
        </is>
      </c>
      <c r="E19" t="inlineStr">
        <is>
          <t>Power</t>
        </is>
      </c>
      <c r="F19" t="inlineStr">
        <is>
          <t>Electronics</t>
        </is>
      </c>
      <c r="G19" t="n">
        <v>5</v>
      </c>
      <c r="H19" s="7" t="n">
        <v>9500</v>
      </c>
      <c r="I19" s="8" t="n">
        <v>0.1</v>
      </c>
      <c r="J19" s="7" t="n">
        <v>42750</v>
      </c>
      <c r="K19" t="inlineStr">
        <is>
          <t>Sylhet</t>
        </is>
      </c>
      <c r="L19" t="inlineStr">
        <is>
          <t>Arafat Hossain</t>
        </is>
      </c>
      <c r="M19" t="inlineStr">
        <is>
          <t>GreenTech</t>
        </is>
      </c>
    </row>
    <row r="20">
      <c r="A20" t="inlineStr">
        <is>
          <t>S0019</t>
        </is>
      </c>
      <c r="B20" s="6" t="n">
        <v>46245</v>
      </c>
      <c r="C20" t="inlineStr">
        <is>
          <t>P003</t>
        </is>
      </c>
      <c r="D20" t="inlineStr">
        <is>
          <t>Office Monitor 24</t>
        </is>
      </c>
      <c r="E20" t="inlineStr">
        <is>
          <t>Monitor</t>
        </is>
      </c>
      <c r="F20" t="inlineStr">
        <is>
          <t>Computer</t>
        </is>
      </c>
      <c r="G20" t="n">
        <v>8</v>
      </c>
      <c r="H20" s="7" t="n">
        <v>18500</v>
      </c>
      <c r="I20" s="8" t="n">
        <v>0</v>
      </c>
      <c r="J20" s="7" t="n">
        <v>148000</v>
      </c>
      <c r="K20" t="inlineStr">
        <is>
          <t>Sylhet</t>
        </is>
      </c>
      <c r="L20" t="inlineStr">
        <is>
          <t>Sakib Ahmed</t>
        </is>
      </c>
      <c r="M20" t="inlineStr">
        <is>
          <t>Nova Ltd.</t>
        </is>
      </c>
    </row>
    <row r="21">
      <c r="A21" t="inlineStr">
        <is>
          <t>S0020</t>
        </is>
      </c>
      <c r="B21" s="6" t="n">
        <v>46282</v>
      </c>
      <c r="C21" t="inlineStr">
        <is>
          <t>P002</t>
        </is>
      </c>
      <c r="D21" t="inlineStr">
        <is>
          <t>Business Laptop 15</t>
        </is>
      </c>
      <c r="E21" t="inlineStr">
        <is>
          <t>Laptop</t>
        </is>
      </c>
      <c r="F21" t="inlineStr">
        <is>
          <t>Computer</t>
        </is>
      </c>
      <c r="G21" t="n">
        <v>5</v>
      </c>
      <c r="H21" s="7" t="n">
        <v>62000</v>
      </c>
      <c r="I21" s="8" t="n">
        <v>0.1</v>
      </c>
      <c r="J21" s="7" t="n">
        <v>279000</v>
      </c>
      <c r="K21" t="inlineStr">
        <is>
          <t>Khulna</t>
        </is>
      </c>
      <c r="L21" t="inlineStr">
        <is>
          <t>Sakib Ahmed</t>
        </is>
      </c>
      <c r="M21" t="inlineStr">
        <is>
          <t>Prime Solutions</t>
        </is>
      </c>
    </row>
    <row r="22">
      <c r="A22" t="inlineStr">
        <is>
          <t>S0021</t>
        </is>
      </c>
      <c r="B22" s="6" t="n">
        <v>46101</v>
      </c>
      <c r="C22" t="inlineStr">
        <is>
          <t>P006</t>
        </is>
      </c>
      <c r="D22" t="inlineStr">
        <is>
          <t>Laser Printer</t>
        </is>
      </c>
      <c r="E22" t="inlineStr">
        <is>
          <t>Printer</t>
        </is>
      </c>
      <c r="F22" t="inlineStr">
        <is>
          <t>Office</t>
        </is>
      </c>
      <c r="G22" t="n">
        <v>3</v>
      </c>
      <c r="H22" s="7" t="n">
        <v>21500</v>
      </c>
      <c r="I22" s="8" t="n">
        <v>0.08</v>
      </c>
      <c r="J22" s="7" t="n">
        <v>59340</v>
      </c>
      <c r="K22" t="inlineStr">
        <is>
          <t>Khulna</t>
        </is>
      </c>
      <c r="L22" t="inlineStr">
        <is>
          <t>Arafat Hossain</t>
        </is>
      </c>
      <c r="M22" t="inlineStr">
        <is>
          <t>Metro Holdings</t>
        </is>
      </c>
    </row>
    <row r="23">
      <c r="A23" t="inlineStr">
        <is>
          <t>S0022</t>
        </is>
      </c>
      <c r="B23" s="6" t="n">
        <v>46273</v>
      </c>
      <c r="C23" t="inlineStr">
        <is>
          <t>P001</t>
        </is>
      </c>
      <c r="D23" t="inlineStr">
        <is>
          <t>Laptop Pro 14</t>
        </is>
      </c>
      <c r="E23" t="inlineStr">
        <is>
          <t>Laptop</t>
        </is>
      </c>
      <c r="F23" t="inlineStr">
        <is>
          <t>Computer</t>
        </is>
      </c>
      <c r="G23" t="n">
        <v>2</v>
      </c>
      <c r="H23" s="7" t="n">
        <v>78000</v>
      </c>
      <c r="I23" s="8" t="n">
        <v>0.03</v>
      </c>
      <c r="J23" s="7" t="n">
        <v>151320</v>
      </c>
      <c r="K23" t="inlineStr">
        <is>
          <t>Sylhet</t>
        </is>
      </c>
      <c r="L23" t="inlineStr">
        <is>
          <t>Nusrat Jahan</t>
        </is>
      </c>
      <c r="M23" t="inlineStr">
        <is>
          <t>ABC Trading</t>
        </is>
      </c>
    </row>
    <row r="24">
      <c r="A24" t="inlineStr">
        <is>
          <t>S0023</t>
        </is>
      </c>
      <c r="B24" s="6" t="n">
        <v>46146</v>
      </c>
      <c r="C24" t="inlineStr">
        <is>
          <t>P010</t>
        </is>
      </c>
      <c r="D24" t="inlineStr">
        <is>
          <t>Projector HD</t>
        </is>
      </c>
      <c r="E24" t="inlineStr">
        <is>
          <t>Projector</t>
        </is>
      </c>
      <c r="F24" t="inlineStr">
        <is>
          <t>Electronics</t>
        </is>
      </c>
      <c r="G24" t="n">
        <v>2</v>
      </c>
      <c r="H24" s="7" t="n">
        <v>32000</v>
      </c>
      <c r="I24" s="8" t="n">
        <v>0</v>
      </c>
      <c r="J24" s="7" t="n">
        <v>64000</v>
      </c>
      <c r="K24" t="inlineStr">
        <is>
          <t>Rajshahi</t>
        </is>
      </c>
      <c r="L24" t="inlineStr">
        <is>
          <t>Arafat Hossain</t>
        </is>
      </c>
      <c r="M24" t="inlineStr">
        <is>
          <t>Nova Ltd.</t>
        </is>
      </c>
    </row>
    <row r="25">
      <c r="A25" t="inlineStr">
        <is>
          <t>S0024</t>
        </is>
      </c>
      <c r="B25" s="6" t="n">
        <v>46088</v>
      </c>
      <c r="C25" t="inlineStr">
        <is>
          <t>P008</t>
        </is>
      </c>
      <c r="D25" t="inlineStr">
        <is>
          <t>Executive Desk</t>
        </is>
      </c>
      <c r="E25" t="inlineStr">
        <is>
          <t>Furniture</t>
        </is>
      </c>
      <c r="F25" t="inlineStr">
        <is>
          <t>Office</t>
        </is>
      </c>
      <c r="G25" t="n">
        <v>3</v>
      </c>
      <c r="H25" s="7" t="n">
        <v>28500</v>
      </c>
      <c r="I25" s="8" t="n">
        <v>0.03</v>
      </c>
      <c r="J25" s="7" t="n">
        <v>82935</v>
      </c>
      <c r="K25" t="inlineStr">
        <is>
          <t>Khulna</t>
        </is>
      </c>
      <c r="L25" t="inlineStr">
        <is>
          <t>Sakib Ahmed</t>
        </is>
      </c>
      <c r="M25" t="inlineStr">
        <is>
          <t>Sunrise Pharma</t>
        </is>
      </c>
    </row>
    <row r="26">
      <c r="A26" t="inlineStr">
        <is>
          <t>S0025</t>
        </is>
      </c>
      <c r="B26" s="6" t="n">
        <v>46131</v>
      </c>
      <c r="C26" t="inlineStr">
        <is>
          <t>P009</t>
        </is>
      </c>
      <c r="D26" t="inlineStr">
        <is>
          <t>UPS 1200VA</t>
        </is>
      </c>
      <c r="E26" t="inlineStr">
        <is>
          <t>Power</t>
        </is>
      </c>
      <c r="F26" t="inlineStr">
        <is>
          <t>Electronics</t>
        </is>
      </c>
      <c r="G26" t="n">
        <v>4</v>
      </c>
      <c r="H26" s="7" t="n">
        <v>9500</v>
      </c>
      <c r="I26" s="8" t="n">
        <v>0.1</v>
      </c>
      <c r="J26" s="7" t="n">
        <v>34200</v>
      </c>
      <c r="K26" t="inlineStr">
        <is>
          <t>Sylhet</t>
        </is>
      </c>
      <c r="L26" t="inlineStr">
        <is>
          <t>Maliha Karim</t>
        </is>
      </c>
      <c r="M26" t="inlineStr">
        <is>
          <t>Metro Holdings</t>
        </is>
      </c>
    </row>
    <row r="27">
      <c r="A27" t="inlineStr">
        <is>
          <t>S0026</t>
        </is>
      </c>
      <c r="B27" s="6" t="n">
        <v>46247</v>
      </c>
      <c r="C27" t="inlineStr">
        <is>
          <t>P009</t>
        </is>
      </c>
      <c r="D27" t="inlineStr">
        <is>
          <t>UPS 1200VA</t>
        </is>
      </c>
      <c r="E27" t="inlineStr">
        <is>
          <t>Power</t>
        </is>
      </c>
      <c r="F27" t="inlineStr">
        <is>
          <t>Electronics</t>
        </is>
      </c>
      <c r="G27" t="n">
        <v>8</v>
      </c>
      <c r="H27" s="7" t="n">
        <v>9500</v>
      </c>
      <c r="I27" s="8" t="n">
        <v>0</v>
      </c>
      <c r="J27" s="7" t="n">
        <v>76000</v>
      </c>
      <c r="K27" t="inlineStr">
        <is>
          <t>Chattogram</t>
        </is>
      </c>
      <c r="L27" t="inlineStr">
        <is>
          <t>Nusrat Jahan</t>
        </is>
      </c>
      <c r="M27" t="inlineStr">
        <is>
          <t>Delta Garments</t>
        </is>
      </c>
    </row>
    <row r="28">
      <c r="A28" t="inlineStr">
        <is>
          <t>S0027</t>
        </is>
      </c>
      <c r="B28" s="6" t="n">
        <v>46196</v>
      </c>
      <c r="C28" t="inlineStr">
        <is>
          <t>P001</t>
        </is>
      </c>
      <c r="D28" t="inlineStr">
        <is>
          <t>Laptop Pro 14</t>
        </is>
      </c>
      <c r="E28" t="inlineStr">
        <is>
          <t>Laptop</t>
        </is>
      </c>
      <c r="F28" t="inlineStr">
        <is>
          <t>Computer</t>
        </is>
      </c>
      <c r="G28" t="n">
        <v>4</v>
      </c>
      <c r="H28" s="7" t="n">
        <v>78000</v>
      </c>
      <c r="I28" s="8" t="n">
        <v>0.08</v>
      </c>
      <c r="J28" s="7" t="n">
        <v>287040</v>
      </c>
      <c r="K28" t="inlineStr">
        <is>
          <t>Chattogram</t>
        </is>
      </c>
      <c r="L28" t="inlineStr">
        <is>
          <t>Arafat Hossain</t>
        </is>
      </c>
      <c r="M28" t="inlineStr">
        <is>
          <t>Delta Garments</t>
        </is>
      </c>
    </row>
    <row r="29">
      <c r="A29" t="inlineStr">
        <is>
          <t>S0028</t>
        </is>
      </c>
      <c r="B29" s="6" t="n">
        <v>46053</v>
      </c>
      <c r="C29" t="inlineStr">
        <is>
          <t>P004</t>
        </is>
      </c>
      <c r="D29" t="inlineStr">
        <is>
          <t>Wireless Keyboard</t>
        </is>
      </c>
      <c r="E29" t="inlineStr">
        <is>
          <t>Accessories</t>
        </is>
      </c>
      <c r="F29" t="inlineStr">
        <is>
          <t>Computer</t>
        </is>
      </c>
      <c r="G29" t="n">
        <v>2</v>
      </c>
      <c r="H29" s="7" t="n">
        <v>2500</v>
      </c>
      <c r="I29" s="8" t="n">
        <v>0</v>
      </c>
      <c r="J29" s="7" t="n">
        <v>5000</v>
      </c>
      <c r="K29" t="inlineStr">
        <is>
          <t>Sylhet</t>
        </is>
      </c>
      <c r="L29" t="inlineStr">
        <is>
          <t>Arafat Hossain</t>
        </is>
      </c>
      <c r="M29" t="inlineStr">
        <is>
          <t>Prime Solutions</t>
        </is>
      </c>
    </row>
    <row r="30">
      <c r="A30" t="inlineStr">
        <is>
          <t>S0029</t>
        </is>
      </c>
      <c r="B30" s="6" t="n">
        <v>46165</v>
      </c>
      <c r="C30" t="inlineStr">
        <is>
          <t>P008</t>
        </is>
      </c>
      <c r="D30" t="inlineStr">
        <is>
          <t>Executive Desk</t>
        </is>
      </c>
      <c r="E30" t="inlineStr">
        <is>
          <t>Furniture</t>
        </is>
      </c>
      <c r="F30" t="inlineStr">
        <is>
          <t>Office</t>
        </is>
      </c>
      <c r="G30" t="n">
        <v>4</v>
      </c>
      <c r="H30" s="7" t="n">
        <v>28500</v>
      </c>
      <c r="I30" s="8" t="n">
        <v>0.08</v>
      </c>
      <c r="J30" s="7" t="n">
        <v>104880</v>
      </c>
      <c r="K30" t="inlineStr">
        <is>
          <t>Chattogram</t>
        </is>
      </c>
      <c r="L30" t="inlineStr">
        <is>
          <t>Sakib Ahmed</t>
        </is>
      </c>
      <c r="M30" t="inlineStr">
        <is>
          <t>Eastland Group</t>
        </is>
      </c>
    </row>
    <row r="31">
      <c r="A31" t="inlineStr">
        <is>
          <t>S0030</t>
        </is>
      </c>
      <c r="B31" s="6" t="n">
        <v>46147</v>
      </c>
      <c r="C31" t="inlineStr">
        <is>
          <t>P008</t>
        </is>
      </c>
      <c r="D31" t="inlineStr">
        <is>
          <t>Executive Desk</t>
        </is>
      </c>
      <c r="E31" t="inlineStr">
        <is>
          <t>Furniture</t>
        </is>
      </c>
      <c r="F31" t="inlineStr">
        <is>
          <t>Office</t>
        </is>
      </c>
      <c r="G31" t="n">
        <v>7</v>
      </c>
      <c r="H31" s="7" t="n">
        <v>28500</v>
      </c>
      <c r="I31" s="8" t="n">
        <v>0</v>
      </c>
      <c r="J31" s="7" t="n">
        <v>199500</v>
      </c>
      <c r="K31" t="inlineStr">
        <is>
          <t>Dhaka</t>
        </is>
      </c>
      <c r="L31" t="inlineStr">
        <is>
          <t>Arafat Hossain</t>
        </is>
      </c>
      <c r="M31" t="inlineStr">
        <is>
          <t>Sunrise Pharma</t>
        </is>
      </c>
    </row>
    <row r="32">
      <c r="A32" t="inlineStr">
        <is>
          <t>S0031</t>
        </is>
      </c>
      <c r="B32" s="6" t="n">
        <v>46204</v>
      </c>
      <c r="C32" t="inlineStr">
        <is>
          <t>P007</t>
        </is>
      </c>
      <c r="D32" t="inlineStr">
        <is>
          <t>Office Chair</t>
        </is>
      </c>
      <c r="E32" t="inlineStr">
        <is>
          <t>Furniture</t>
        </is>
      </c>
      <c r="F32" t="inlineStr">
        <is>
          <t>Office</t>
        </is>
      </c>
      <c r="G32" t="n">
        <v>7</v>
      </c>
      <c r="H32" s="7" t="n">
        <v>12500</v>
      </c>
      <c r="I32" s="8" t="n">
        <v>0.05</v>
      </c>
      <c r="J32" s="7" t="n">
        <v>83125</v>
      </c>
      <c r="K32" t="inlineStr">
        <is>
          <t>Dhaka</t>
        </is>
      </c>
      <c r="L32" t="inlineStr">
        <is>
          <t>Arafat Hossain</t>
        </is>
      </c>
      <c r="M32" t="inlineStr">
        <is>
          <t>ABC Trading</t>
        </is>
      </c>
    </row>
    <row r="33">
      <c r="A33" t="inlineStr">
        <is>
          <t>S0032</t>
        </is>
      </c>
      <c r="B33" s="6" t="n">
        <v>46229</v>
      </c>
      <c r="C33" t="inlineStr">
        <is>
          <t>P006</t>
        </is>
      </c>
      <c r="D33" t="inlineStr">
        <is>
          <t>Laser Printer</t>
        </is>
      </c>
      <c r="E33" t="inlineStr">
        <is>
          <t>Printer</t>
        </is>
      </c>
      <c r="F33" t="inlineStr">
        <is>
          <t>Office</t>
        </is>
      </c>
      <c r="G33" t="n">
        <v>2</v>
      </c>
      <c r="H33" s="7" t="n">
        <v>21500</v>
      </c>
      <c r="I33" s="8" t="n">
        <v>0</v>
      </c>
      <c r="J33" s="7" t="n">
        <v>43000</v>
      </c>
      <c r="K33" t="inlineStr">
        <is>
          <t>Chattogram</t>
        </is>
      </c>
      <c r="L33" t="inlineStr">
        <is>
          <t>Nusrat Jahan</t>
        </is>
      </c>
      <c r="M33" t="inlineStr">
        <is>
          <t>Eastland Group</t>
        </is>
      </c>
    </row>
    <row r="34">
      <c r="A34" t="inlineStr">
        <is>
          <t>S0033</t>
        </is>
      </c>
      <c r="B34" s="6" t="n">
        <v>46094</v>
      </c>
      <c r="C34" t="inlineStr">
        <is>
          <t>P007</t>
        </is>
      </c>
      <c r="D34" t="inlineStr">
        <is>
          <t>Office Chair</t>
        </is>
      </c>
      <c r="E34" t="inlineStr">
        <is>
          <t>Furniture</t>
        </is>
      </c>
      <c r="F34" t="inlineStr">
        <is>
          <t>Office</t>
        </is>
      </c>
      <c r="G34" t="n">
        <v>3</v>
      </c>
      <c r="H34" s="7" t="n">
        <v>12500</v>
      </c>
      <c r="I34" s="8" t="n">
        <v>0.03</v>
      </c>
      <c r="J34" s="7" t="n">
        <v>36375</v>
      </c>
      <c r="K34" t="inlineStr">
        <is>
          <t>Rajshahi</t>
        </is>
      </c>
      <c r="L34" t="inlineStr">
        <is>
          <t>Nusrat Jahan</t>
        </is>
      </c>
      <c r="M34" t="inlineStr">
        <is>
          <t>Delta Garments</t>
        </is>
      </c>
    </row>
    <row r="35">
      <c r="A35" t="inlineStr">
        <is>
          <t>S0034</t>
        </is>
      </c>
      <c r="B35" s="6" t="n">
        <v>46249</v>
      </c>
      <c r="C35" t="inlineStr">
        <is>
          <t>P009</t>
        </is>
      </c>
      <c r="D35" t="inlineStr">
        <is>
          <t>UPS 1200VA</t>
        </is>
      </c>
      <c r="E35" t="inlineStr">
        <is>
          <t>Power</t>
        </is>
      </c>
      <c r="F35" t="inlineStr">
        <is>
          <t>Electronics</t>
        </is>
      </c>
      <c r="G35" t="n">
        <v>2</v>
      </c>
      <c r="H35" s="7" t="n">
        <v>9500</v>
      </c>
      <c r="I35" s="8" t="n">
        <v>0</v>
      </c>
      <c r="J35" s="7" t="n">
        <v>19000</v>
      </c>
      <c r="K35" t="inlineStr">
        <is>
          <t>Khulna</t>
        </is>
      </c>
      <c r="L35" t="inlineStr">
        <is>
          <t>Arafat Hossain</t>
        </is>
      </c>
      <c r="M35" t="inlineStr">
        <is>
          <t>Delta Garments</t>
        </is>
      </c>
    </row>
    <row r="36">
      <c r="A36" t="inlineStr">
        <is>
          <t>S0035</t>
        </is>
      </c>
      <c r="B36" s="6" t="n">
        <v>46144</v>
      </c>
      <c r="C36" t="inlineStr">
        <is>
          <t>P003</t>
        </is>
      </c>
      <c r="D36" t="inlineStr">
        <is>
          <t>Office Monitor 24</t>
        </is>
      </c>
      <c r="E36" t="inlineStr">
        <is>
          <t>Monitor</t>
        </is>
      </c>
      <c r="F36" t="inlineStr">
        <is>
          <t>Computer</t>
        </is>
      </c>
      <c r="G36" t="n">
        <v>7</v>
      </c>
      <c r="H36" s="7" t="n">
        <v>18500</v>
      </c>
      <c r="I36" s="8" t="n">
        <v>0.05</v>
      </c>
      <c r="J36" s="7" t="n">
        <v>123025</v>
      </c>
      <c r="K36" t="inlineStr">
        <is>
          <t>Rajshahi</t>
        </is>
      </c>
      <c r="L36" t="inlineStr">
        <is>
          <t>Nusrat Jahan</t>
        </is>
      </c>
      <c r="M36" t="inlineStr">
        <is>
          <t>Sunrise Pharma</t>
        </is>
      </c>
    </row>
    <row r="37">
      <c r="A37" t="inlineStr">
        <is>
          <t>S0036</t>
        </is>
      </c>
      <c r="B37" s="6" t="n">
        <v>46053</v>
      </c>
      <c r="C37" t="inlineStr">
        <is>
          <t>P003</t>
        </is>
      </c>
      <c r="D37" t="inlineStr">
        <is>
          <t>Office Monitor 24</t>
        </is>
      </c>
      <c r="E37" t="inlineStr">
        <is>
          <t>Monitor</t>
        </is>
      </c>
      <c r="F37" t="inlineStr">
        <is>
          <t>Computer</t>
        </is>
      </c>
      <c r="G37" t="n">
        <v>7</v>
      </c>
      <c r="H37" s="7" t="n">
        <v>18500</v>
      </c>
      <c r="I37" s="8" t="n">
        <v>0</v>
      </c>
      <c r="J37" s="7" t="n">
        <v>129500</v>
      </c>
      <c r="K37" t="inlineStr">
        <is>
          <t>Rajshahi</t>
        </is>
      </c>
      <c r="L37" t="inlineStr">
        <is>
          <t>Tanvir Rahman</t>
        </is>
      </c>
      <c r="M37" t="inlineStr">
        <is>
          <t>Eastland Group</t>
        </is>
      </c>
    </row>
    <row r="38">
      <c r="A38" t="inlineStr">
        <is>
          <t>S0037</t>
        </is>
      </c>
      <c r="B38" s="6" t="n">
        <v>46169</v>
      </c>
      <c r="C38" t="inlineStr">
        <is>
          <t>P007</t>
        </is>
      </c>
      <c r="D38" t="inlineStr">
        <is>
          <t>Office Chair</t>
        </is>
      </c>
      <c r="E38" t="inlineStr">
        <is>
          <t>Furniture</t>
        </is>
      </c>
      <c r="F38" t="inlineStr">
        <is>
          <t>Office</t>
        </is>
      </c>
      <c r="G38" t="n">
        <v>8</v>
      </c>
      <c r="H38" s="7" t="n">
        <v>12500</v>
      </c>
      <c r="I38" s="8" t="n">
        <v>0</v>
      </c>
      <c r="J38" s="7" t="n">
        <v>100000</v>
      </c>
      <c r="K38" t="inlineStr">
        <is>
          <t>Chattogram</t>
        </is>
      </c>
      <c r="L38" t="inlineStr">
        <is>
          <t>Tanvir Rahman</t>
        </is>
      </c>
      <c r="M38" t="inlineStr">
        <is>
          <t>Prime Solutions</t>
        </is>
      </c>
    </row>
    <row r="39">
      <c r="A39" t="inlineStr">
        <is>
          <t>S0038</t>
        </is>
      </c>
      <c r="B39" s="6" t="n">
        <v>46052</v>
      </c>
      <c r="C39" t="inlineStr">
        <is>
          <t>P010</t>
        </is>
      </c>
      <c r="D39" t="inlineStr">
        <is>
          <t>Projector HD</t>
        </is>
      </c>
      <c r="E39" t="inlineStr">
        <is>
          <t>Projector</t>
        </is>
      </c>
      <c r="F39" t="inlineStr">
        <is>
          <t>Electronics</t>
        </is>
      </c>
      <c r="G39" t="n">
        <v>1</v>
      </c>
      <c r="H39" s="7" t="n">
        <v>32000</v>
      </c>
      <c r="I39" s="8" t="n">
        <v>0.1</v>
      </c>
      <c r="J39" s="7" t="n">
        <v>28800</v>
      </c>
      <c r="K39" t="inlineStr">
        <is>
          <t>Sylhet</t>
        </is>
      </c>
      <c r="L39" t="inlineStr">
        <is>
          <t>Arafat Hossain</t>
        </is>
      </c>
      <c r="M39" t="inlineStr">
        <is>
          <t>ABC Trading</t>
        </is>
      </c>
    </row>
    <row r="40">
      <c r="A40" t="inlineStr">
        <is>
          <t>S0039</t>
        </is>
      </c>
      <c r="B40" s="6" t="n">
        <v>46267</v>
      </c>
      <c r="C40" t="inlineStr">
        <is>
          <t>P009</t>
        </is>
      </c>
      <c r="D40" t="inlineStr">
        <is>
          <t>UPS 1200VA</t>
        </is>
      </c>
      <c r="E40" t="inlineStr">
        <is>
          <t>Power</t>
        </is>
      </c>
      <c r="F40" t="inlineStr">
        <is>
          <t>Electronics</t>
        </is>
      </c>
      <c r="G40" t="n">
        <v>3</v>
      </c>
      <c r="H40" s="7" t="n">
        <v>9500</v>
      </c>
      <c r="I40" s="8" t="n">
        <v>0</v>
      </c>
      <c r="J40" s="7" t="n">
        <v>28500</v>
      </c>
      <c r="K40" t="inlineStr">
        <is>
          <t>Khulna</t>
        </is>
      </c>
      <c r="L40" t="inlineStr">
        <is>
          <t>Arafat Hossain</t>
        </is>
      </c>
      <c r="M40" t="inlineStr">
        <is>
          <t>Nova Ltd.</t>
        </is>
      </c>
    </row>
    <row r="41">
      <c r="A41" t="inlineStr">
        <is>
          <t>S0040</t>
        </is>
      </c>
      <c r="B41" s="6" t="n">
        <v>46058</v>
      </c>
      <c r="C41" t="inlineStr">
        <is>
          <t>P010</t>
        </is>
      </c>
      <c r="D41" t="inlineStr">
        <is>
          <t>Projector HD</t>
        </is>
      </c>
      <c r="E41" t="inlineStr">
        <is>
          <t>Projector</t>
        </is>
      </c>
      <c r="F41" t="inlineStr">
        <is>
          <t>Electronics</t>
        </is>
      </c>
      <c r="G41" t="n">
        <v>2</v>
      </c>
      <c r="H41" s="7" t="n">
        <v>32000</v>
      </c>
      <c r="I41" s="8" t="n">
        <v>0.1</v>
      </c>
      <c r="J41" s="7" t="n">
        <v>57600</v>
      </c>
      <c r="K41" t="inlineStr">
        <is>
          <t>Chattogram</t>
        </is>
      </c>
      <c r="L41" t="inlineStr">
        <is>
          <t>Maliha Karim</t>
        </is>
      </c>
      <c r="M41" t="inlineStr">
        <is>
          <t>Delta Garments</t>
        </is>
      </c>
    </row>
    <row r="42">
      <c r="A42" t="inlineStr">
        <is>
          <t>S0041</t>
        </is>
      </c>
      <c r="B42" s="6" t="n">
        <v>46149</v>
      </c>
      <c r="C42" t="inlineStr">
        <is>
          <t>P010</t>
        </is>
      </c>
      <c r="D42" t="inlineStr">
        <is>
          <t>Projector HD</t>
        </is>
      </c>
      <c r="E42" t="inlineStr">
        <is>
          <t>Projector</t>
        </is>
      </c>
      <c r="F42" t="inlineStr">
        <is>
          <t>Electronics</t>
        </is>
      </c>
      <c r="G42" t="n">
        <v>1</v>
      </c>
      <c r="H42" s="7" t="n">
        <v>32000</v>
      </c>
      <c r="I42" s="8" t="n">
        <v>0.08</v>
      </c>
      <c r="J42" s="7" t="n">
        <v>29440</v>
      </c>
      <c r="K42" t="inlineStr">
        <is>
          <t>Dhaka</t>
        </is>
      </c>
      <c r="L42" t="inlineStr">
        <is>
          <t>Maliha Karim</t>
        </is>
      </c>
      <c r="M42" t="inlineStr">
        <is>
          <t>Metro Holdings</t>
        </is>
      </c>
    </row>
    <row r="43">
      <c r="A43" t="inlineStr">
        <is>
          <t>S0042</t>
        </is>
      </c>
      <c r="B43" s="6" t="n">
        <v>46156</v>
      </c>
      <c r="C43" t="inlineStr">
        <is>
          <t>P004</t>
        </is>
      </c>
      <c r="D43" t="inlineStr">
        <is>
          <t>Wireless Keyboard</t>
        </is>
      </c>
      <c r="E43" t="inlineStr">
        <is>
          <t>Accessories</t>
        </is>
      </c>
      <c r="F43" t="inlineStr">
        <is>
          <t>Computer</t>
        </is>
      </c>
      <c r="G43" t="n">
        <v>6</v>
      </c>
      <c r="H43" s="7" t="n">
        <v>2500</v>
      </c>
      <c r="I43" s="8" t="n">
        <v>0</v>
      </c>
      <c r="J43" s="7" t="n">
        <v>15000</v>
      </c>
      <c r="K43" t="inlineStr">
        <is>
          <t>Sylhet</t>
        </is>
      </c>
      <c r="L43" t="inlineStr">
        <is>
          <t>Maliha Karim</t>
        </is>
      </c>
      <c r="M43" t="inlineStr">
        <is>
          <t>Nova Ltd.</t>
        </is>
      </c>
    </row>
    <row r="44">
      <c r="A44" t="inlineStr">
        <is>
          <t>S0043</t>
        </is>
      </c>
      <c r="B44" s="6" t="n">
        <v>46176</v>
      </c>
      <c r="C44" t="inlineStr">
        <is>
          <t>P008</t>
        </is>
      </c>
      <c r="D44" t="inlineStr">
        <is>
          <t>Executive Desk</t>
        </is>
      </c>
      <c r="E44" t="inlineStr">
        <is>
          <t>Furniture</t>
        </is>
      </c>
      <c r="F44" t="inlineStr">
        <is>
          <t>Office</t>
        </is>
      </c>
      <c r="G44" t="n">
        <v>6</v>
      </c>
      <c r="H44" s="7" t="n">
        <v>28500</v>
      </c>
      <c r="I44" s="8" t="n">
        <v>0</v>
      </c>
      <c r="J44" s="7" t="n">
        <v>171000</v>
      </c>
      <c r="K44" t="inlineStr">
        <is>
          <t>Dhaka</t>
        </is>
      </c>
      <c r="L44" t="inlineStr">
        <is>
          <t>Maliha Karim</t>
        </is>
      </c>
      <c r="M44" t="inlineStr">
        <is>
          <t>Delta Garments</t>
        </is>
      </c>
    </row>
    <row r="45">
      <c r="A45" t="inlineStr">
        <is>
          <t>S0044</t>
        </is>
      </c>
      <c r="B45" s="6" t="n">
        <v>46060</v>
      </c>
      <c r="C45" t="inlineStr">
        <is>
          <t>P009</t>
        </is>
      </c>
      <c r="D45" t="inlineStr">
        <is>
          <t>UPS 1200VA</t>
        </is>
      </c>
      <c r="E45" t="inlineStr">
        <is>
          <t>Power</t>
        </is>
      </c>
      <c r="F45" t="inlineStr">
        <is>
          <t>Electronics</t>
        </is>
      </c>
      <c r="G45" t="n">
        <v>4</v>
      </c>
      <c r="H45" s="7" t="n">
        <v>9500</v>
      </c>
      <c r="I45" s="8" t="n">
        <v>0.08</v>
      </c>
      <c r="J45" s="7" t="n">
        <v>34960</v>
      </c>
      <c r="K45" t="inlineStr">
        <is>
          <t>Sylhet</t>
        </is>
      </c>
      <c r="L45" t="inlineStr">
        <is>
          <t>Nusrat Jahan</t>
        </is>
      </c>
      <c r="M45" t="inlineStr">
        <is>
          <t>Metro Holdings</t>
        </is>
      </c>
    </row>
    <row r="46">
      <c r="A46" t="inlineStr">
        <is>
          <t>S0045</t>
        </is>
      </c>
      <c r="B46" s="6" t="n">
        <v>46058</v>
      </c>
      <c r="C46" t="inlineStr">
        <is>
          <t>P004</t>
        </is>
      </c>
      <c r="D46" t="inlineStr">
        <is>
          <t>Wireless Keyboard</t>
        </is>
      </c>
      <c r="E46" t="inlineStr">
        <is>
          <t>Accessories</t>
        </is>
      </c>
      <c r="F46" t="inlineStr">
        <is>
          <t>Computer</t>
        </is>
      </c>
      <c r="G46" t="n">
        <v>6</v>
      </c>
      <c r="H46" s="7" t="n">
        <v>2500</v>
      </c>
      <c r="I46" s="8" t="n">
        <v>0.03</v>
      </c>
      <c r="J46" s="7" t="n">
        <v>14550</v>
      </c>
      <c r="K46" t="inlineStr">
        <is>
          <t>Chattogram</t>
        </is>
      </c>
      <c r="L46" t="inlineStr">
        <is>
          <t>Maliha Karim</t>
        </is>
      </c>
      <c r="M46" t="inlineStr">
        <is>
          <t>GreenTech</t>
        </is>
      </c>
    </row>
    <row r="47">
      <c r="A47" t="inlineStr">
        <is>
          <t>S0046</t>
        </is>
      </c>
      <c r="B47" s="6" t="n">
        <v>46293</v>
      </c>
      <c r="C47" t="inlineStr">
        <is>
          <t>P001</t>
        </is>
      </c>
      <c r="D47" t="inlineStr">
        <is>
          <t>Laptop Pro 14</t>
        </is>
      </c>
      <c r="E47" t="inlineStr">
        <is>
          <t>Laptop</t>
        </is>
      </c>
      <c r="F47" t="inlineStr">
        <is>
          <t>Computer</t>
        </is>
      </c>
      <c r="G47" t="n">
        <v>5</v>
      </c>
      <c r="H47" s="7" t="n">
        <v>78000</v>
      </c>
      <c r="I47" s="8" t="n">
        <v>0.1</v>
      </c>
      <c r="J47" s="7" t="n">
        <v>351000</v>
      </c>
      <c r="K47" t="inlineStr">
        <is>
          <t>Dhaka</t>
        </is>
      </c>
      <c r="L47" t="inlineStr">
        <is>
          <t>Nusrat Jahan</t>
        </is>
      </c>
      <c r="M47" t="inlineStr">
        <is>
          <t>GreenTech</t>
        </is>
      </c>
    </row>
    <row r="48">
      <c r="A48" t="inlineStr">
        <is>
          <t>S0047</t>
        </is>
      </c>
      <c r="B48" s="6" t="n">
        <v>46082</v>
      </c>
      <c r="C48" t="inlineStr">
        <is>
          <t>P002</t>
        </is>
      </c>
      <c r="D48" t="inlineStr">
        <is>
          <t>Business Laptop 15</t>
        </is>
      </c>
      <c r="E48" t="inlineStr">
        <is>
          <t>Laptop</t>
        </is>
      </c>
      <c r="F48" t="inlineStr">
        <is>
          <t>Computer</t>
        </is>
      </c>
      <c r="G48" t="n">
        <v>3</v>
      </c>
      <c r="H48" s="7" t="n">
        <v>62000</v>
      </c>
      <c r="I48" s="8" t="n">
        <v>0.03</v>
      </c>
      <c r="J48" s="7" t="n">
        <v>180420</v>
      </c>
      <c r="K48" t="inlineStr">
        <is>
          <t>Sylhet</t>
        </is>
      </c>
      <c r="L48" t="inlineStr">
        <is>
          <t>Sakib Ahmed</t>
        </is>
      </c>
      <c r="M48" t="inlineStr">
        <is>
          <t>Prime Solutions</t>
        </is>
      </c>
    </row>
    <row r="49">
      <c r="A49" t="inlineStr">
        <is>
          <t>S0048</t>
        </is>
      </c>
      <c r="B49" s="6" t="n">
        <v>46198</v>
      </c>
      <c r="C49" t="inlineStr">
        <is>
          <t>P004</t>
        </is>
      </c>
      <c r="D49" t="inlineStr">
        <is>
          <t>Wireless Keyboard</t>
        </is>
      </c>
      <c r="E49" t="inlineStr">
        <is>
          <t>Accessories</t>
        </is>
      </c>
      <c r="F49" t="inlineStr">
        <is>
          <t>Computer</t>
        </is>
      </c>
      <c r="G49" t="n">
        <v>5</v>
      </c>
      <c r="H49" s="7" t="n">
        <v>2500</v>
      </c>
      <c r="I49" s="8" t="n">
        <v>0.08</v>
      </c>
      <c r="J49" s="7" t="n">
        <v>11500</v>
      </c>
      <c r="K49" t="inlineStr">
        <is>
          <t>Rajshahi</t>
        </is>
      </c>
      <c r="L49" t="inlineStr">
        <is>
          <t>Tanvir Rahman</t>
        </is>
      </c>
      <c r="M49" t="inlineStr">
        <is>
          <t>ABC Trading</t>
        </is>
      </c>
    </row>
    <row r="50">
      <c r="A50" t="inlineStr">
        <is>
          <t>S0049</t>
        </is>
      </c>
      <c r="B50" s="6" t="n">
        <v>46070</v>
      </c>
      <c r="C50" t="inlineStr">
        <is>
          <t>P007</t>
        </is>
      </c>
      <c r="D50" t="inlineStr">
        <is>
          <t>Office Chair</t>
        </is>
      </c>
      <c r="E50" t="inlineStr">
        <is>
          <t>Furniture</t>
        </is>
      </c>
      <c r="F50" t="inlineStr">
        <is>
          <t>Office</t>
        </is>
      </c>
      <c r="G50" t="n">
        <v>5</v>
      </c>
      <c r="H50" s="7" t="n">
        <v>12500</v>
      </c>
      <c r="I50" s="8" t="n">
        <v>0</v>
      </c>
      <c r="J50" s="7" t="n">
        <v>62500</v>
      </c>
      <c r="K50" t="inlineStr">
        <is>
          <t>Dhaka</t>
        </is>
      </c>
      <c r="L50" t="inlineStr">
        <is>
          <t>Tanvir Rahman</t>
        </is>
      </c>
      <c r="M50" t="inlineStr">
        <is>
          <t>Nova Ltd.</t>
        </is>
      </c>
    </row>
    <row r="51">
      <c r="A51" t="inlineStr">
        <is>
          <t>S0050</t>
        </is>
      </c>
      <c r="B51" s="6" t="n">
        <v>46157</v>
      </c>
      <c r="C51" t="inlineStr">
        <is>
          <t>P003</t>
        </is>
      </c>
      <c r="D51" t="inlineStr">
        <is>
          <t>Office Monitor 24</t>
        </is>
      </c>
      <c r="E51" t="inlineStr">
        <is>
          <t>Monitor</t>
        </is>
      </c>
      <c r="F51" t="inlineStr">
        <is>
          <t>Computer</t>
        </is>
      </c>
      <c r="G51" t="n">
        <v>8</v>
      </c>
      <c r="H51" s="7" t="n">
        <v>18500</v>
      </c>
      <c r="I51" s="8" t="n">
        <v>0.08</v>
      </c>
      <c r="J51" s="7" t="n">
        <v>136160</v>
      </c>
      <c r="K51" t="inlineStr">
        <is>
          <t>Rajshahi</t>
        </is>
      </c>
      <c r="L51" t="inlineStr">
        <is>
          <t>Sakib Ahmed</t>
        </is>
      </c>
      <c r="M51" t="inlineStr">
        <is>
          <t>ABC Trading</t>
        </is>
      </c>
    </row>
    <row r="52">
      <c r="A52" t="inlineStr">
        <is>
          <t>S0051</t>
        </is>
      </c>
      <c r="B52" s="6" t="n">
        <v>46080</v>
      </c>
      <c r="C52" t="inlineStr">
        <is>
          <t>P002</t>
        </is>
      </c>
      <c r="D52" t="inlineStr">
        <is>
          <t>Business Laptop 15</t>
        </is>
      </c>
      <c r="E52" t="inlineStr">
        <is>
          <t>Laptop</t>
        </is>
      </c>
      <c r="F52" t="inlineStr">
        <is>
          <t>Computer</t>
        </is>
      </c>
      <c r="G52" t="n">
        <v>3</v>
      </c>
      <c r="H52" s="7" t="n">
        <v>62000</v>
      </c>
      <c r="I52" s="8" t="n">
        <v>0.08</v>
      </c>
      <c r="J52" s="7" t="n">
        <v>171120</v>
      </c>
      <c r="K52" t="inlineStr">
        <is>
          <t>Dhaka</t>
        </is>
      </c>
      <c r="L52" t="inlineStr">
        <is>
          <t>Tanvir Rahman</t>
        </is>
      </c>
      <c r="M52" t="inlineStr">
        <is>
          <t>Nova Ltd.</t>
        </is>
      </c>
    </row>
    <row r="53">
      <c r="A53" t="inlineStr">
        <is>
          <t>S0052</t>
        </is>
      </c>
      <c r="B53" s="6" t="n">
        <v>46243</v>
      </c>
      <c r="C53" t="inlineStr">
        <is>
          <t>P003</t>
        </is>
      </c>
      <c r="D53" t="inlineStr">
        <is>
          <t>Office Monitor 24</t>
        </is>
      </c>
      <c r="E53" t="inlineStr">
        <is>
          <t>Monitor</t>
        </is>
      </c>
      <c r="F53" t="inlineStr">
        <is>
          <t>Computer</t>
        </is>
      </c>
      <c r="G53" t="n">
        <v>1</v>
      </c>
      <c r="H53" s="7" t="n">
        <v>18500</v>
      </c>
      <c r="I53" s="8" t="n">
        <v>0.03</v>
      </c>
      <c r="J53" s="7" t="n">
        <v>17945</v>
      </c>
      <c r="K53" t="inlineStr">
        <is>
          <t>Sylhet</t>
        </is>
      </c>
      <c r="L53" t="inlineStr">
        <is>
          <t>Arafat Hossain</t>
        </is>
      </c>
      <c r="M53" t="inlineStr">
        <is>
          <t>Metro Holdings</t>
        </is>
      </c>
    </row>
    <row r="54">
      <c r="A54" t="inlineStr">
        <is>
          <t>S0053</t>
        </is>
      </c>
      <c r="B54" s="6" t="n">
        <v>46130</v>
      </c>
      <c r="C54" t="inlineStr">
        <is>
          <t>P004</t>
        </is>
      </c>
      <c r="D54" t="inlineStr">
        <is>
          <t>Wireless Keyboard</t>
        </is>
      </c>
      <c r="E54" t="inlineStr">
        <is>
          <t>Accessories</t>
        </is>
      </c>
      <c r="F54" t="inlineStr">
        <is>
          <t>Computer</t>
        </is>
      </c>
      <c r="G54" t="n">
        <v>2</v>
      </c>
      <c r="H54" s="7" t="n">
        <v>2500</v>
      </c>
      <c r="I54" s="8" t="n">
        <v>0.03</v>
      </c>
      <c r="J54" s="7" t="n">
        <v>4850</v>
      </c>
      <c r="K54" t="inlineStr">
        <is>
          <t>Khulna</t>
        </is>
      </c>
      <c r="L54" t="inlineStr">
        <is>
          <t>Maliha Karim</t>
        </is>
      </c>
      <c r="M54" t="inlineStr">
        <is>
          <t>Nova Ltd.</t>
        </is>
      </c>
    </row>
    <row r="55">
      <c r="A55" t="inlineStr">
        <is>
          <t>S0054</t>
        </is>
      </c>
      <c r="B55" s="6" t="n">
        <v>46144</v>
      </c>
      <c r="C55" t="inlineStr">
        <is>
          <t>P003</t>
        </is>
      </c>
      <c r="D55" t="inlineStr">
        <is>
          <t>Office Monitor 24</t>
        </is>
      </c>
      <c r="E55" t="inlineStr">
        <is>
          <t>Monitor</t>
        </is>
      </c>
      <c r="F55" t="inlineStr">
        <is>
          <t>Computer</t>
        </is>
      </c>
      <c r="G55" t="n">
        <v>3</v>
      </c>
      <c r="H55" s="7" t="n">
        <v>18500</v>
      </c>
      <c r="I55" s="8" t="n">
        <v>0.05</v>
      </c>
      <c r="J55" s="7" t="n">
        <v>52725</v>
      </c>
      <c r="K55" t="inlineStr">
        <is>
          <t>Dhaka</t>
        </is>
      </c>
      <c r="L55" t="inlineStr">
        <is>
          <t>Nusrat Jahan</t>
        </is>
      </c>
      <c r="M55" t="inlineStr">
        <is>
          <t>Metro Holdings</t>
        </is>
      </c>
    </row>
    <row r="56">
      <c r="A56" t="inlineStr">
        <is>
          <t>S0055</t>
        </is>
      </c>
      <c r="B56" s="6" t="n">
        <v>46233</v>
      </c>
      <c r="C56" t="inlineStr">
        <is>
          <t>P004</t>
        </is>
      </c>
      <c r="D56" t="inlineStr">
        <is>
          <t>Wireless Keyboard</t>
        </is>
      </c>
      <c r="E56" t="inlineStr">
        <is>
          <t>Accessories</t>
        </is>
      </c>
      <c r="F56" t="inlineStr">
        <is>
          <t>Computer</t>
        </is>
      </c>
      <c r="G56" t="n">
        <v>5</v>
      </c>
      <c r="H56" s="7" t="n">
        <v>2500</v>
      </c>
      <c r="I56" s="8" t="n">
        <v>0</v>
      </c>
      <c r="J56" s="7" t="n">
        <v>12500</v>
      </c>
      <c r="K56" t="inlineStr">
        <is>
          <t>Dhaka</t>
        </is>
      </c>
      <c r="L56" t="inlineStr">
        <is>
          <t>Maliha Karim</t>
        </is>
      </c>
      <c r="M56" t="inlineStr">
        <is>
          <t>ABC Trading</t>
        </is>
      </c>
    </row>
    <row r="57">
      <c r="A57" t="inlineStr">
        <is>
          <t>S0056</t>
        </is>
      </c>
      <c r="B57" s="6" t="n">
        <v>46263</v>
      </c>
      <c r="C57" t="inlineStr">
        <is>
          <t>P004</t>
        </is>
      </c>
      <c r="D57" t="inlineStr">
        <is>
          <t>Wireless Keyboard</t>
        </is>
      </c>
      <c r="E57" t="inlineStr">
        <is>
          <t>Accessories</t>
        </is>
      </c>
      <c r="F57" t="inlineStr">
        <is>
          <t>Computer</t>
        </is>
      </c>
      <c r="G57" t="n">
        <v>4</v>
      </c>
      <c r="H57" s="7" t="n">
        <v>2500</v>
      </c>
      <c r="I57" s="8" t="n">
        <v>0.05</v>
      </c>
      <c r="J57" s="7" t="n">
        <v>9500</v>
      </c>
      <c r="K57" t="inlineStr">
        <is>
          <t>Sylhet</t>
        </is>
      </c>
      <c r="L57" t="inlineStr">
        <is>
          <t>Tanvir Rahman</t>
        </is>
      </c>
      <c r="M57" t="inlineStr">
        <is>
          <t>Prime Solutions</t>
        </is>
      </c>
    </row>
    <row r="58">
      <c r="A58" t="inlineStr">
        <is>
          <t>S0057</t>
        </is>
      </c>
      <c r="B58" s="6" t="n">
        <v>46137</v>
      </c>
      <c r="C58" t="inlineStr">
        <is>
          <t>P001</t>
        </is>
      </c>
      <c r="D58" t="inlineStr">
        <is>
          <t>Laptop Pro 14</t>
        </is>
      </c>
      <c r="E58" t="inlineStr">
        <is>
          <t>Laptop</t>
        </is>
      </c>
      <c r="F58" t="inlineStr">
        <is>
          <t>Computer</t>
        </is>
      </c>
      <c r="G58" t="n">
        <v>4</v>
      </c>
      <c r="H58" s="7" t="n">
        <v>78000</v>
      </c>
      <c r="I58" s="8" t="n">
        <v>0.05</v>
      </c>
      <c r="J58" s="7" t="n">
        <v>296400</v>
      </c>
      <c r="K58" t="inlineStr">
        <is>
          <t>Sylhet</t>
        </is>
      </c>
      <c r="L58" t="inlineStr">
        <is>
          <t>Tanvir Rahman</t>
        </is>
      </c>
      <c r="M58" t="inlineStr">
        <is>
          <t>Delta Garments</t>
        </is>
      </c>
    </row>
    <row r="59">
      <c r="A59" t="inlineStr">
        <is>
          <t>S0058</t>
        </is>
      </c>
      <c r="B59" s="6" t="n">
        <v>46165</v>
      </c>
      <c r="C59" t="inlineStr">
        <is>
          <t>P006</t>
        </is>
      </c>
      <c r="D59" t="inlineStr">
        <is>
          <t>Laser Printer</t>
        </is>
      </c>
      <c r="E59" t="inlineStr">
        <is>
          <t>Printer</t>
        </is>
      </c>
      <c r="F59" t="inlineStr">
        <is>
          <t>Office</t>
        </is>
      </c>
      <c r="G59" t="n">
        <v>7</v>
      </c>
      <c r="H59" s="7" t="n">
        <v>21500</v>
      </c>
      <c r="I59" s="8" t="n">
        <v>0.1</v>
      </c>
      <c r="J59" s="7" t="n">
        <v>135450</v>
      </c>
      <c r="K59" t="inlineStr">
        <is>
          <t>Khulna</t>
        </is>
      </c>
      <c r="L59" t="inlineStr">
        <is>
          <t>Tanvir Rahman</t>
        </is>
      </c>
      <c r="M59" t="inlineStr">
        <is>
          <t>ABC Trading</t>
        </is>
      </c>
    </row>
    <row r="60">
      <c r="A60" t="inlineStr">
        <is>
          <t>S0059</t>
        </is>
      </c>
      <c r="B60" s="6" t="n">
        <v>46082</v>
      </c>
      <c r="C60" t="inlineStr">
        <is>
          <t>P005</t>
        </is>
      </c>
      <c r="D60" t="inlineStr">
        <is>
          <t>Wireless Mouse</t>
        </is>
      </c>
      <c r="E60" t="inlineStr">
        <is>
          <t>Accessories</t>
        </is>
      </c>
      <c r="F60" t="inlineStr">
        <is>
          <t>Computer</t>
        </is>
      </c>
      <c r="G60" t="n">
        <v>3</v>
      </c>
      <c r="H60" s="7" t="n">
        <v>1400</v>
      </c>
      <c r="I60" s="8" t="n">
        <v>0.08</v>
      </c>
      <c r="J60" s="7" t="n">
        <v>3864</v>
      </c>
      <c r="K60" t="inlineStr">
        <is>
          <t>Sylhet</t>
        </is>
      </c>
      <c r="L60" t="inlineStr">
        <is>
          <t>Arafat Hossain</t>
        </is>
      </c>
      <c r="M60" t="inlineStr">
        <is>
          <t>Delta Garments</t>
        </is>
      </c>
    </row>
    <row r="61">
      <c r="A61" t="inlineStr">
        <is>
          <t>S0060</t>
        </is>
      </c>
      <c r="B61" s="6" t="n">
        <v>46245</v>
      </c>
      <c r="C61" t="inlineStr">
        <is>
          <t>P006</t>
        </is>
      </c>
      <c r="D61" t="inlineStr">
        <is>
          <t>Laser Printer</t>
        </is>
      </c>
      <c r="E61" t="inlineStr">
        <is>
          <t>Printer</t>
        </is>
      </c>
      <c r="F61" t="inlineStr">
        <is>
          <t>Office</t>
        </is>
      </c>
      <c r="G61" t="n">
        <v>6</v>
      </c>
      <c r="H61" s="7" t="n">
        <v>21500</v>
      </c>
      <c r="I61" s="8" t="n">
        <v>0.05</v>
      </c>
      <c r="J61" s="7" t="n">
        <v>122550</v>
      </c>
      <c r="K61" t="inlineStr">
        <is>
          <t>Khulna</t>
        </is>
      </c>
      <c r="L61" t="inlineStr">
        <is>
          <t>Sakib Ahmed</t>
        </is>
      </c>
      <c r="M61" t="inlineStr">
        <is>
          <t>Delta Garments</t>
        </is>
      </c>
    </row>
    <row r="62">
      <c r="A62" t="inlineStr">
        <is>
          <t>S0061</t>
        </is>
      </c>
      <c r="B62" s="6" t="n">
        <v>46220</v>
      </c>
      <c r="C62" t="inlineStr">
        <is>
          <t>P010</t>
        </is>
      </c>
      <c r="D62" t="inlineStr">
        <is>
          <t>Projector HD</t>
        </is>
      </c>
      <c r="E62" t="inlineStr">
        <is>
          <t>Projector</t>
        </is>
      </c>
      <c r="F62" t="inlineStr">
        <is>
          <t>Electronics</t>
        </is>
      </c>
      <c r="G62" t="n">
        <v>4</v>
      </c>
      <c r="H62" s="7" t="n">
        <v>32000</v>
      </c>
      <c r="I62" s="8" t="n">
        <v>0.03</v>
      </c>
      <c r="J62" s="7" t="n">
        <v>124160</v>
      </c>
      <c r="K62" t="inlineStr">
        <is>
          <t>Dhaka</t>
        </is>
      </c>
      <c r="L62" t="inlineStr">
        <is>
          <t>Maliha Karim</t>
        </is>
      </c>
      <c r="M62" t="inlineStr">
        <is>
          <t>ABC Trading</t>
        </is>
      </c>
    </row>
    <row r="63">
      <c r="A63" t="inlineStr">
        <is>
          <t>S0062</t>
        </is>
      </c>
      <c r="B63" s="6" t="n">
        <v>46289</v>
      </c>
      <c r="C63" t="inlineStr">
        <is>
          <t>P009</t>
        </is>
      </c>
      <c r="D63" t="inlineStr">
        <is>
          <t>UPS 1200VA</t>
        </is>
      </c>
      <c r="E63" t="inlineStr">
        <is>
          <t>Power</t>
        </is>
      </c>
      <c r="F63" t="inlineStr">
        <is>
          <t>Electronics</t>
        </is>
      </c>
      <c r="G63" t="n">
        <v>4</v>
      </c>
      <c r="H63" s="7" t="n">
        <v>9500</v>
      </c>
      <c r="I63" s="8" t="n">
        <v>0.03</v>
      </c>
      <c r="J63" s="7" t="n">
        <v>36860</v>
      </c>
      <c r="K63" t="inlineStr">
        <is>
          <t>Rajshahi</t>
        </is>
      </c>
      <c r="L63" t="inlineStr">
        <is>
          <t>Arafat Hossain</t>
        </is>
      </c>
      <c r="M63" t="inlineStr">
        <is>
          <t>Metro Holdings</t>
        </is>
      </c>
    </row>
    <row r="64">
      <c r="A64" t="inlineStr">
        <is>
          <t>S0063</t>
        </is>
      </c>
      <c r="B64" s="6" t="n">
        <v>46183</v>
      </c>
      <c r="C64" t="inlineStr">
        <is>
          <t>P002</t>
        </is>
      </c>
      <c r="D64" t="inlineStr">
        <is>
          <t>Business Laptop 15</t>
        </is>
      </c>
      <c r="E64" t="inlineStr">
        <is>
          <t>Laptop</t>
        </is>
      </c>
      <c r="F64" t="inlineStr">
        <is>
          <t>Computer</t>
        </is>
      </c>
      <c r="G64" t="n">
        <v>5</v>
      </c>
      <c r="H64" s="7" t="n">
        <v>62000</v>
      </c>
      <c r="I64" s="8" t="n">
        <v>0.08</v>
      </c>
      <c r="J64" s="7" t="n">
        <v>285200</v>
      </c>
      <c r="K64" t="inlineStr">
        <is>
          <t>Sylhet</t>
        </is>
      </c>
      <c r="L64" t="inlineStr">
        <is>
          <t>Maliha Karim</t>
        </is>
      </c>
      <c r="M64" t="inlineStr">
        <is>
          <t>Metro Holdings</t>
        </is>
      </c>
    </row>
    <row r="65">
      <c r="A65" t="inlineStr">
        <is>
          <t>S0064</t>
        </is>
      </c>
      <c r="B65" s="6" t="n">
        <v>46229</v>
      </c>
      <c r="C65" t="inlineStr">
        <is>
          <t>P005</t>
        </is>
      </c>
      <c r="D65" t="inlineStr">
        <is>
          <t>Wireless Mouse</t>
        </is>
      </c>
      <c r="E65" t="inlineStr">
        <is>
          <t>Accessories</t>
        </is>
      </c>
      <c r="F65" t="inlineStr">
        <is>
          <t>Computer</t>
        </is>
      </c>
      <c r="G65" t="n">
        <v>3</v>
      </c>
      <c r="H65" s="7" t="n">
        <v>1400</v>
      </c>
      <c r="I65" s="8" t="n">
        <v>0</v>
      </c>
      <c r="J65" s="7" t="n">
        <v>4200</v>
      </c>
      <c r="K65" t="inlineStr">
        <is>
          <t>Rajshahi</t>
        </is>
      </c>
      <c r="L65" t="inlineStr">
        <is>
          <t>Maliha Karim</t>
        </is>
      </c>
      <c r="M65" t="inlineStr">
        <is>
          <t>Nova Ltd.</t>
        </is>
      </c>
    </row>
    <row r="66">
      <c r="A66" t="inlineStr">
        <is>
          <t>S0065</t>
        </is>
      </c>
      <c r="B66" s="6" t="n">
        <v>46177</v>
      </c>
      <c r="C66" t="inlineStr">
        <is>
          <t>P007</t>
        </is>
      </c>
      <c r="D66" t="inlineStr">
        <is>
          <t>Office Chair</t>
        </is>
      </c>
      <c r="E66" t="inlineStr">
        <is>
          <t>Furniture</t>
        </is>
      </c>
      <c r="F66" t="inlineStr">
        <is>
          <t>Office</t>
        </is>
      </c>
      <c r="G66" t="n">
        <v>1</v>
      </c>
      <c r="H66" s="7" t="n">
        <v>12500</v>
      </c>
      <c r="I66" s="8" t="n">
        <v>0.03</v>
      </c>
      <c r="J66" s="7" t="n">
        <v>12125</v>
      </c>
      <c r="K66" t="inlineStr">
        <is>
          <t>Sylhet</t>
        </is>
      </c>
      <c r="L66" t="inlineStr">
        <is>
          <t>Nusrat Jahan</t>
        </is>
      </c>
      <c r="M66" t="inlineStr">
        <is>
          <t>Sunrise Pharma</t>
        </is>
      </c>
    </row>
    <row r="67">
      <c r="A67" t="inlineStr">
        <is>
          <t>S0066</t>
        </is>
      </c>
      <c r="B67" s="6" t="n">
        <v>46187</v>
      </c>
      <c r="C67" t="inlineStr">
        <is>
          <t>P008</t>
        </is>
      </c>
      <c r="D67" t="inlineStr">
        <is>
          <t>Executive Desk</t>
        </is>
      </c>
      <c r="E67" t="inlineStr">
        <is>
          <t>Furniture</t>
        </is>
      </c>
      <c r="F67" t="inlineStr">
        <is>
          <t>Office</t>
        </is>
      </c>
      <c r="G67" t="n">
        <v>8</v>
      </c>
      <c r="H67" s="7" t="n">
        <v>28500</v>
      </c>
      <c r="I67" s="8" t="n">
        <v>0.05</v>
      </c>
      <c r="J67" s="7" t="n">
        <v>216600</v>
      </c>
      <c r="K67" t="inlineStr">
        <is>
          <t>Chattogram</t>
        </is>
      </c>
      <c r="L67" t="inlineStr">
        <is>
          <t>Sakib Ahmed</t>
        </is>
      </c>
      <c r="M67" t="inlineStr">
        <is>
          <t>Eastland Group</t>
        </is>
      </c>
    </row>
    <row r="68">
      <c r="A68" t="inlineStr">
        <is>
          <t>S0067</t>
        </is>
      </c>
      <c r="B68" s="6" t="n">
        <v>46109</v>
      </c>
      <c r="C68" t="inlineStr">
        <is>
          <t>P002</t>
        </is>
      </c>
      <c r="D68" t="inlineStr">
        <is>
          <t>Business Laptop 15</t>
        </is>
      </c>
      <c r="E68" t="inlineStr">
        <is>
          <t>Laptop</t>
        </is>
      </c>
      <c r="F68" t="inlineStr">
        <is>
          <t>Computer</t>
        </is>
      </c>
      <c r="G68" t="n">
        <v>5</v>
      </c>
      <c r="H68" s="7" t="n">
        <v>62000</v>
      </c>
      <c r="I68" s="8" t="n">
        <v>0.08</v>
      </c>
      <c r="J68" s="7" t="n">
        <v>285200</v>
      </c>
      <c r="K68" t="inlineStr">
        <is>
          <t>Khulna</t>
        </is>
      </c>
      <c r="L68" t="inlineStr">
        <is>
          <t>Tanvir Rahman</t>
        </is>
      </c>
      <c r="M68" t="inlineStr">
        <is>
          <t>Delta Garments</t>
        </is>
      </c>
    </row>
    <row r="69">
      <c r="A69" t="inlineStr">
        <is>
          <t>S0068</t>
        </is>
      </c>
      <c r="B69" s="6" t="n">
        <v>46143</v>
      </c>
      <c r="C69" t="inlineStr">
        <is>
          <t>P005</t>
        </is>
      </c>
      <c r="D69" t="inlineStr">
        <is>
          <t>Wireless Mouse</t>
        </is>
      </c>
      <c r="E69" t="inlineStr">
        <is>
          <t>Accessories</t>
        </is>
      </c>
      <c r="F69" t="inlineStr">
        <is>
          <t>Computer</t>
        </is>
      </c>
      <c r="G69" t="n">
        <v>4</v>
      </c>
      <c r="H69" s="7" t="n">
        <v>1400</v>
      </c>
      <c r="I69" s="8" t="n">
        <v>0</v>
      </c>
      <c r="J69" s="7" t="n">
        <v>5600</v>
      </c>
      <c r="K69" t="inlineStr">
        <is>
          <t>Chattogram</t>
        </is>
      </c>
      <c r="L69" t="inlineStr">
        <is>
          <t>Arafat Hossain</t>
        </is>
      </c>
      <c r="M69" t="inlineStr">
        <is>
          <t>ABC Trading</t>
        </is>
      </c>
    </row>
    <row r="70">
      <c r="A70" t="inlineStr">
        <is>
          <t>S0069</t>
        </is>
      </c>
      <c r="B70" s="6" t="n">
        <v>46148</v>
      </c>
      <c r="C70" t="inlineStr">
        <is>
          <t>P008</t>
        </is>
      </c>
      <c r="D70" t="inlineStr">
        <is>
          <t>Executive Desk</t>
        </is>
      </c>
      <c r="E70" t="inlineStr">
        <is>
          <t>Furniture</t>
        </is>
      </c>
      <c r="F70" t="inlineStr">
        <is>
          <t>Office</t>
        </is>
      </c>
      <c r="G70" t="n">
        <v>2</v>
      </c>
      <c r="H70" s="7" t="n">
        <v>28500</v>
      </c>
      <c r="I70" s="8" t="n">
        <v>0.05</v>
      </c>
      <c r="J70" s="7" t="n">
        <v>54150</v>
      </c>
      <c r="K70" t="inlineStr">
        <is>
          <t>Rajshahi</t>
        </is>
      </c>
      <c r="L70" t="inlineStr">
        <is>
          <t>Sakib Ahmed</t>
        </is>
      </c>
      <c r="M70" t="inlineStr">
        <is>
          <t>Prime Solutions</t>
        </is>
      </c>
    </row>
    <row r="71">
      <c r="A71" t="inlineStr">
        <is>
          <t>S0070</t>
        </is>
      </c>
      <c r="B71" s="6" t="n">
        <v>46219</v>
      </c>
      <c r="C71" t="inlineStr">
        <is>
          <t>P008</t>
        </is>
      </c>
      <c r="D71" t="inlineStr">
        <is>
          <t>Executive Desk</t>
        </is>
      </c>
      <c r="E71" t="inlineStr">
        <is>
          <t>Furniture</t>
        </is>
      </c>
      <c r="F71" t="inlineStr">
        <is>
          <t>Office</t>
        </is>
      </c>
      <c r="G71" t="n">
        <v>7</v>
      </c>
      <c r="H71" s="7" t="n">
        <v>28500</v>
      </c>
      <c r="I71" s="8" t="n">
        <v>0</v>
      </c>
      <c r="J71" s="7" t="n">
        <v>199500</v>
      </c>
      <c r="K71" t="inlineStr">
        <is>
          <t>Chattogram</t>
        </is>
      </c>
      <c r="L71" t="inlineStr">
        <is>
          <t>Arafat Hossain</t>
        </is>
      </c>
      <c r="M71" t="inlineStr">
        <is>
          <t>Delta Garments</t>
        </is>
      </c>
    </row>
    <row r="72">
      <c r="A72" t="inlineStr">
        <is>
          <t>S0071</t>
        </is>
      </c>
      <c r="B72" s="6" t="n">
        <v>46240</v>
      </c>
      <c r="C72" t="inlineStr">
        <is>
          <t>P004</t>
        </is>
      </c>
      <c r="D72" t="inlineStr">
        <is>
          <t>Wireless Keyboard</t>
        </is>
      </c>
      <c r="E72" t="inlineStr">
        <is>
          <t>Accessories</t>
        </is>
      </c>
      <c r="F72" t="inlineStr">
        <is>
          <t>Computer</t>
        </is>
      </c>
      <c r="G72" t="n">
        <v>3</v>
      </c>
      <c r="H72" s="7" t="n">
        <v>2500</v>
      </c>
      <c r="I72" s="8" t="n">
        <v>0.1</v>
      </c>
      <c r="J72" s="7" t="n">
        <v>6750</v>
      </c>
      <c r="K72" t="inlineStr">
        <is>
          <t>Khulna</t>
        </is>
      </c>
      <c r="L72" t="inlineStr">
        <is>
          <t>Maliha Karim</t>
        </is>
      </c>
      <c r="M72" t="inlineStr">
        <is>
          <t>ABC Trading</t>
        </is>
      </c>
    </row>
    <row r="73">
      <c r="A73" t="inlineStr">
        <is>
          <t>S0072</t>
        </is>
      </c>
      <c r="B73" s="6" t="n">
        <v>46150</v>
      </c>
      <c r="C73" t="inlineStr">
        <is>
          <t>P002</t>
        </is>
      </c>
      <c r="D73" t="inlineStr">
        <is>
          <t>Business Laptop 15</t>
        </is>
      </c>
      <c r="E73" t="inlineStr">
        <is>
          <t>Laptop</t>
        </is>
      </c>
      <c r="F73" t="inlineStr">
        <is>
          <t>Computer</t>
        </is>
      </c>
      <c r="G73" t="n">
        <v>8</v>
      </c>
      <c r="H73" s="7" t="n">
        <v>62000</v>
      </c>
      <c r="I73" s="8" t="n">
        <v>0</v>
      </c>
      <c r="J73" s="7" t="n">
        <v>496000</v>
      </c>
      <c r="K73" t="inlineStr">
        <is>
          <t>Rajshahi</t>
        </is>
      </c>
      <c r="L73" t="inlineStr">
        <is>
          <t>Sakib Ahmed</t>
        </is>
      </c>
      <c r="M73" t="inlineStr">
        <is>
          <t>Metro Holdings</t>
        </is>
      </c>
    </row>
    <row r="74">
      <c r="A74" t="inlineStr">
        <is>
          <t>S0073</t>
        </is>
      </c>
      <c r="B74" s="6" t="n">
        <v>46249</v>
      </c>
      <c r="C74" t="inlineStr">
        <is>
          <t>P010</t>
        </is>
      </c>
      <c r="D74" t="inlineStr">
        <is>
          <t>Projector HD</t>
        </is>
      </c>
      <c r="E74" t="inlineStr">
        <is>
          <t>Projector</t>
        </is>
      </c>
      <c r="F74" t="inlineStr">
        <is>
          <t>Electronics</t>
        </is>
      </c>
      <c r="G74" t="n">
        <v>7</v>
      </c>
      <c r="H74" s="7" t="n">
        <v>32000</v>
      </c>
      <c r="I74" s="8" t="n">
        <v>0.08</v>
      </c>
      <c r="J74" s="7" t="n">
        <v>206080</v>
      </c>
      <c r="K74" t="inlineStr">
        <is>
          <t>Rajshahi</t>
        </is>
      </c>
      <c r="L74" t="inlineStr">
        <is>
          <t>Nusrat Jahan</t>
        </is>
      </c>
      <c r="M74" t="inlineStr">
        <is>
          <t>Eastland Group</t>
        </is>
      </c>
    </row>
    <row r="75">
      <c r="A75" t="inlineStr">
        <is>
          <t>S0074</t>
        </is>
      </c>
      <c r="B75" s="6" t="n">
        <v>46253</v>
      </c>
      <c r="C75" t="inlineStr">
        <is>
          <t>P005</t>
        </is>
      </c>
      <c r="D75" t="inlineStr">
        <is>
          <t>Wireless Mouse</t>
        </is>
      </c>
      <c r="E75" t="inlineStr">
        <is>
          <t>Accessories</t>
        </is>
      </c>
      <c r="F75" t="inlineStr">
        <is>
          <t>Computer</t>
        </is>
      </c>
      <c r="G75" t="n">
        <v>4</v>
      </c>
      <c r="H75" s="7" t="n">
        <v>1400</v>
      </c>
      <c r="I75" s="8" t="n">
        <v>0.1</v>
      </c>
      <c r="J75" s="7" t="n">
        <v>5040</v>
      </c>
      <c r="K75" t="inlineStr">
        <is>
          <t>Sylhet</t>
        </is>
      </c>
      <c r="L75" t="inlineStr">
        <is>
          <t>Sakib Ahmed</t>
        </is>
      </c>
      <c r="M75" t="inlineStr">
        <is>
          <t>Eastland Group</t>
        </is>
      </c>
    </row>
    <row r="76">
      <c r="A76" t="inlineStr">
        <is>
          <t>S0075</t>
        </is>
      </c>
      <c r="B76" s="6" t="n">
        <v>46145</v>
      </c>
      <c r="C76" t="inlineStr">
        <is>
          <t>P005</t>
        </is>
      </c>
      <c r="D76" t="inlineStr">
        <is>
          <t>Wireless Mouse</t>
        </is>
      </c>
      <c r="E76" t="inlineStr">
        <is>
          <t>Accessories</t>
        </is>
      </c>
      <c r="F76" t="inlineStr">
        <is>
          <t>Computer</t>
        </is>
      </c>
      <c r="G76" t="n">
        <v>8</v>
      </c>
      <c r="H76" s="7" t="n">
        <v>1400</v>
      </c>
      <c r="I76" s="8" t="n">
        <v>0</v>
      </c>
      <c r="J76" s="7" t="n">
        <v>11200</v>
      </c>
      <c r="K76" t="inlineStr">
        <is>
          <t>Sylhet</t>
        </is>
      </c>
      <c r="L76" t="inlineStr">
        <is>
          <t>Nusrat Jahan</t>
        </is>
      </c>
      <c r="M76" t="inlineStr">
        <is>
          <t>GreenTech</t>
        </is>
      </c>
    </row>
    <row r="77">
      <c r="A77" t="inlineStr">
        <is>
          <t>S0076</t>
        </is>
      </c>
      <c r="B77" s="6" t="n">
        <v>46194</v>
      </c>
      <c r="C77" t="inlineStr">
        <is>
          <t>P006</t>
        </is>
      </c>
      <c r="D77" t="inlineStr">
        <is>
          <t>Laser Printer</t>
        </is>
      </c>
      <c r="E77" t="inlineStr">
        <is>
          <t>Printer</t>
        </is>
      </c>
      <c r="F77" t="inlineStr">
        <is>
          <t>Office</t>
        </is>
      </c>
      <c r="G77" t="n">
        <v>2</v>
      </c>
      <c r="H77" s="7" t="n">
        <v>21500</v>
      </c>
      <c r="I77" s="8" t="n">
        <v>0</v>
      </c>
      <c r="J77" s="7" t="n">
        <v>43000</v>
      </c>
      <c r="K77" t="inlineStr">
        <is>
          <t>Chattogram</t>
        </is>
      </c>
      <c r="L77" t="inlineStr">
        <is>
          <t>Nusrat Jahan</t>
        </is>
      </c>
      <c r="M77" t="inlineStr">
        <is>
          <t>Sunrise Pharma</t>
        </is>
      </c>
    </row>
    <row r="78">
      <c r="A78" t="inlineStr">
        <is>
          <t>S0077</t>
        </is>
      </c>
      <c r="B78" s="6" t="n">
        <v>46101</v>
      </c>
      <c r="C78" t="inlineStr">
        <is>
          <t>P004</t>
        </is>
      </c>
      <c r="D78" t="inlineStr">
        <is>
          <t>Wireless Keyboard</t>
        </is>
      </c>
      <c r="E78" t="inlineStr">
        <is>
          <t>Accessories</t>
        </is>
      </c>
      <c r="F78" t="inlineStr">
        <is>
          <t>Computer</t>
        </is>
      </c>
      <c r="G78" t="n">
        <v>2</v>
      </c>
      <c r="H78" s="7" t="n">
        <v>2500</v>
      </c>
      <c r="I78" s="8" t="n">
        <v>0.05</v>
      </c>
      <c r="J78" s="7" t="n">
        <v>4750</v>
      </c>
      <c r="K78" t="inlineStr">
        <is>
          <t>Rajshahi</t>
        </is>
      </c>
      <c r="L78" t="inlineStr">
        <is>
          <t>Tanvir Rahman</t>
        </is>
      </c>
      <c r="M78" t="inlineStr">
        <is>
          <t>Eastland Group</t>
        </is>
      </c>
    </row>
    <row r="79">
      <c r="A79" t="inlineStr">
        <is>
          <t>S0078</t>
        </is>
      </c>
      <c r="B79" s="6" t="n">
        <v>46235</v>
      </c>
      <c r="C79" t="inlineStr">
        <is>
          <t>P001</t>
        </is>
      </c>
      <c r="D79" t="inlineStr">
        <is>
          <t>Laptop Pro 14</t>
        </is>
      </c>
      <c r="E79" t="inlineStr">
        <is>
          <t>Laptop</t>
        </is>
      </c>
      <c r="F79" t="inlineStr">
        <is>
          <t>Computer</t>
        </is>
      </c>
      <c r="G79" t="n">
        <v>4</v>
      </c>
      <c r="H79" s="7" t="n">
        <v>78000</v>
      </c>
      <c r="I79" s="8" t="n">
        <v>0.05</v>
      </c>
      <c r="J79" s="7" t="n">
        <v>296400</v>
      </c>
      <c r="K79" t="inlineStr">
        <is>
          <t>Rajshahi</t>
        </is>
      </c>
      <c r="L79" t="inlineStr">
        <is>
          <t>Sakib Ahmed</t>
        </is>
      </c>
      <c r="M79" t="inlineStr">
        <is>
          <t>ABC Trading</t>
        </is>
      </c>
    </row>
    <row r="80">
      <c r="A80" t="inlineStr">
        <is>
          <t>S0079</t>
        </is>
      </c>
      <c r="B80" s="6" t="n">
        <v>46217</v>
      </c>
      <c r="C80" t="inlineStr">
        <is>
          <t>P008</t>
        </is>
      </c>
      <c r="D80" t="inlineStr">
        <is>
          <t>Executive Desk</t>
        </is>
      </c>
      <c r="E80" t="inlineStr">
        <is>
          <t>Furniture</t>
        </is>
      </c>
      <c r="F80" t="inlineStr">
        <is>
          <t>Office</t>
        </is>
      </c>
      <c r="G80" t="n">
        <v>1</v>
      </c>
      <c r="H80" s="7" t="n">
        <v>28500</v>
      </c>
      <c r="I80" s="8" t="n">
        <v>0.03</v>
      </c>
      <c r="J80" s="7" t="n">
        <v>27645</v>
      </c>
      <c r="K80" t="inlineStr">
        <is>
          <t>Sylhet</t>
        </is>
      </c>
      <c r="L80" t="inlineStr">
        <is>
          <t>Maliha Karim</t>
        </is>
      </c>
      <c r="M80" t="inlineStr">
        <is>
          <t>Sunrise Pharma</t>
        </is>
      </c>
    </row>
    <row r="81">
      <c r="A81" t="inlineStr">
        <is>
          <t>S0080</t>
        </is>
      </c>
      <c r="B81" s="6" t="n">
        <v>46135</v>
      </c>
      <c r="C81" t="inlineStr">
        <is>
          <t>P008</t>
        </is>
      </c>
      <c r="D81" t="inlineStr">
        <is>
          <t>Executive Desk</t>
        </is>
      </c>
      <c r="E81" t="inlineStr">
        <is>
          <t>Furniture</t>
        </is>
      </c>
      <c r="F81" t="inlineStr">
        <is>
          <t>Office</t>
        </is>
      </c>
      <c r="G81" t="n">
        <v>4</v>
      </c>
      <c r="H81" s="7" t="n">
        <v>28500</v>
      </c>
      <c r="I81" s="8" t="n">
        <v>0.03</v>
      </c>
      <c r="J81" s="7" t="n">
        <v>110580</v>
      </c>
      <c r="K81" t="inlineStr">
        <is>
          <t>Rajshahi</t>
        </is>
      </c>
      <c r="L81" t="inlineStr">
        <is>
          <t>Maliha Karim</t>
        </is>
      </c>
      <c r="M81" t="inlineStr">
        <is>
          <t>ABC Trading</t>
        </is>
      </c>
    </row>
    <row r="82">
      <c r="A82" t="inlineStr">
        <is>
          <t>S0081</t>
        </is>
      </c>
      <c r="B82" s="6" t="n">
        <v>46222</v>
      </c>
      <c r="C82" t="inlineStr">
        <is>
          <t>P006</t>
        </is>
      </c>
      <c r="D82" t="inlineStr">
        <is>
          <t>Laser Printer</t>
        </is>
      </c>
      <c r="E82" t="inlineStr">
        <is>
          <t>Printer</t>
        </is>
      </c>
      <c r="F82" t="inlineStr">
        <is>
          <t>Office</t>
        </is>
      </c>
      <c r="G82" t="n">
        <v>7</v>
      </c>
      <c r="H82" s="7" t="n">
        <v>21500</v>
      </c>
      <c r="I82" s="8" t="n">
        <v>0.1</v>
      </c>
      <c r="J82" s="7" t="n">
        <v>135450</v>
      </c>
      <c r="K82" t="inlineStr">
        <is>
          <t>Chattogram</t>
        </is>
      </c>
      <c r="L82" t="inlineStr">
        <is>
          <t>Maliha Karim</t>
        </is>
      </c>
      <c r="M82" t="inlineStr">
        <is>
          <t>Nova Ltd.</t>
        </is>
      </c>
    </row>
    <row r="83">
      <c r="A83" t="inlineStr">
        <is>
          <t>S0082</t>
        </is>
      </c>
      <c r="B83" s="6" t="n">
        <v>46036</v>
      </c>
      <c r="C83" t="inlineStr">
        <is>
          <t>P007</t>
        </is>
      </c>
      <c r="D83" t="inlineStr">
        <is>
          <t>Office Chair</t>
        </is>
      </c>
      <c r="E83" t="inlineStr">
        <is>
          <t>Furniture</t>
        </is>
      </c>
      <c r="F83" t="inlineStr">
        <is>
          <t>Office</t>
        </is>
      </c>
      <c r="G83" t="n">
        <v>1</v>
      </c>
      <c r="H83" s="7" t="n">
        <v>12500</v>
      </c>
      <c r="I83" s="8" t="n">
        <v>0</v>
      </c>
      <c r="J83" s="7" t="n">
        <v>12500</v>
      </c>
      <c r="K83" t="inlineStr">
        <is>
          <t>Rajshahi</t>
        </is>
      </c>
      <c r="L83" t="inlineStr">
        <is>
          <t>Nusrat Jahan</t>
        </is>
      </c>
      <c r="M83" t="inlineStr">
        <is>
          <t>Eastland Group</t>
        </is>
      </c>
    </row>
    <row r="84">
      <c r="A84" t="inlineStr">
        <is>
          <t>S0083</t>
        </is>
      </c>
      <c r="B84" s="6" t="n">
        <v>46116</v>
      </c>
      <c r="C84" t="inlineStr">
        <is>
          <t>P001</t>
        </is>
      </c>
      <c r="D84" t="inlineStr">
        <is>
          <t>Laptop Pro 14</t>
        </is>
      </c>
      <c r="E84" t="inlineStr">
        <is>
          <t>Laptop</t>
        </is>
      </c>
      <c r="F84" t="inlineStr">
        <is>
          <t>Computer</t>
        </is>
      </c>
      <c r="G84" t="n">
        <v>5</v>
      </c>
      <c r="H84" s="7" t="n">
        <v>78000</v>
      </c>
      <c r="I84" s="8" t="n">
        <v>0.05</v>
      </c>
      <c r="J84" s="7" t="n">
        <v>370500</v>
      </c>
      <c r="K84" t="inlineStr">
        <is>
          <t>Sylhet</t>
        </is>
      </c>
      <c r="L84" t="inlineStr">
        <is>
          <t>Nusrat Jahan</t>
        </is>
      </c>
      <c r="M84" t="inlineStr">
        <is>
          <t>Eastland Group</t>
        </is>
      </c>
    </row>
    <row r="85">
      <c r="A85" t="inlineStr">
        <is>
          <t>S0084</t>
        </is>
      </c>
      <c r="B85" s="6" t="n">
        <v>46190</v>
      </c>
      <c r="C85" t="inlineStr">
        <is>
          <t>P006</t>
        </is>
      </c>
      <c r="D85" t="inlineStr">
        <is>
          <t>Laser Printer</t>
        </is>
      </c>
      <c r="E85" t="inlineStr">
        <is>
          <t>Printer</t>
        </is>
      </c>
      <c r="F85" t="inlineStr">
        <is>
          <t>Office</t>
        </is>
      </c>
      <c r="G85" t="n">
        <v>7</v>
      </c>
      <c r="H85" s="7" t="n">
        <v>21500</v>
      </c>
      <c r="I85" s="8" t="n">
        <v>0.03</v>
      </c>
      <c r="J85" s="7" t="n">
        <v>145985</v>
      </c>
      <c r="K85" t="inlineStr">
        <is>
          <t>Rajshahi</t>
        </is>
      </c>
      <c r="L85" t="inlineStr">
        <is>
          <t>Tanvir Rahman</t>
        </is>
      </c>
      <c r="M85" t="inlineStr">
        <is>
          <t>Delta Garments</t>
        </is>
      </c>
    </row>
    <row r="86">
      <c r="A86" t="inlineStr">
        <is>
          <t>S0085</t>
        </is>
      </c>
      <c r="B86" s="6" t="n">
        <v>46263</v>
      </c>
      <c r="C86" t="inlineStr">
        <is>
          <t>P001</t>
        </is>
      </c>
      <c r="D86" t="inlineStr">
        <is>
          <t>Laptop Pro 14</t>
        </is>
      </c>
      <c r="E86" t="inlineStr">
        <is>
          <t>Laptop</t>
        </is>
      </c>
      <c r="F86" t="inlineStr">
        <is>
          <t>Computer</t>
        </is>
      </c>
      <c r="G86" t="n">
        <v>1</v>
      </c>
      <c r="H86" s="7" t="n">
        <v>78000</v>
      </c>
      <c r="I86" s="8" t="n">
        <v>0.03</v>
      </c>
      <c r="J86" s="7" t="n">
        <v>75660</v>
      </c>
      <c r="K86" t="inlineStr">
        <is>
          <t>Chattogram</t>
        </is>
      </c>
      <c r="L86" t="inlineStr">
        <is>
          <t>Arafat Hossain</t>
        </is>
      </c>
      <c r="M86" t="inlineStr">
        <is>
          <t>ABC Trading</t>
        </is>
      </c>
    </row>
    <row r="87">
      <c r="A87" t="inlineStr">
        <is>
          <t>S0086</t>
        </is>
      </c>
      <c r="B87" s="6" t="n">
        <v>46038</v>
      </c>
      <c r="C87" t="inlineStr">
        <is>
          <t>P004</t>
        </is>
      </c>
      <c r="D87" t="inlineStr">
        <is>
          <t>Wireless Keyboard</t>
        </is>
      </c>
      <c r="E87" t="inlineStr">
        <is>
          <t>Accessories</t>
        </is>
      </c>
      <c r="F87" t="inlineStr">
        <is>
          <t>Computer</t>
        </is>
      </c>
      <c r="G87" t="n">
        <v>4</v>
      </c>
      <c r="H87" s="7" t="n">
        <v>2500</v>
      </c>
      <c r="I87" s="8" t="n">
        <v>0</v>
      </c>
      <c r="J87" s="7" t="n">
        <v>10000</v>
      </c>
      <c r="K87" t="inlineStr">
        <is>
          <t>Khulna</t>
        </is>
      </c>
      <c r="L87" t="inlineStr">
        <is>
          <t>Nusrat Jahan</t>
        </is>
      </c>
      <c r="M87" t="inlineStr">
        <is>
          <t>Prime Solutions</t>
        </is>
      </c>
    </row>
    <row r="88">
      <c r="A88" t="inlineStr">
        <is>
          <t>S0087</t>
        </is>
      </c>
      <c r="B88" s="6" t="n">
        <v>46087</v>
      </c>
      <c r="C88" t="inlineStr">
        <is>
          <t>P008</t>
        </is>
      </c>
      <c r="D88" t="inlineStr">
        <is>
          <t>Executive Desk</t>
        </is>
      </c>
      <c r="E88" t="inlineStr">
        <is>
          <t>Furniture</t>
        </is>
      </c>
      <c r="F88" t="inlineStr">
        <is>
          <t>Office</t>
        </is>
      </c>
      <c r="G88" t="n">
        <v>2</v>
      </c>
      <c r="H88" s="7" t="n">
        <v>28500</v>
      </c>
      <c r="I88" s="8" t="n">
        <v>0.08</v>
      </c>
      <c r="J88" s="7" t="n">
        <v>52440</v>
      </c>
      <c r="K88" t="inlineStr">
        <is>
          <t>Chattogram</t>
        </is>
      </c>
      <c r="L88" t="inlineStr">
        <is>
          <t>Maliha Karim</t>
        </is>
      </c>
      <c r="M88" t="inlineStr">
        <is>
          <t>GreenTech</t>
        </is>
      </c>
    </row>
    <row r="89">
      <c r="A89" t="inlineStr">
        <is>
          <t>S0088</t>
        </is>
      </c>
      <c r="B89" s="6" t="n">
        <v>46211</v>
      </c>
      <c r="C89" t="inlineStr">
        <is>
          <t>P003</t>
        </is>
      </c>
      <c r="D89" t="inlineStr">
        <is>
          <t>Office Monitor 24</t>
        </is>
      </c>
      <c r="E89" t="inlineStr">
        <is>
          <t>Monitor</t>
        </is>
      </c>
      <c r="F89" t="inlineStr">
        <is>
          <t>Computer</t>
        </is>
      </c>
      <c r="G89" t="n">
        <v>2</v>
      </c>
      <c r="H89" s="7" t="n">
        <v>18500</v>
      </c>
      <c r="I89" s="8" t="n">
        <v>0</v>
      </c>
      <c r="J89" s="7" t="n">
        <v>37000</v>
      </c>
      <c r="K89" t="inlineStr">
        <is>
          <t>Sylhet</t>
        </is>
      </c>
      <c r="L89" t="inlineStr">
        <is>
          <t>Arafat Hossain</t>
        </is>
      </c>
      <c r="M89" t="inlineStr">
        <is>
          <t>ABC Trading</t>
        </is>
      </c>
    </row>
    <row r="90">
      <c r="A90" t="inlineStr">
        <is>
          <t>S0089</t>
        </is>
      </c>
      <c r="B90" s="6" t="n">
        <v>46182</v>
      </c>
      <c r="C90" t="inlineStr">
        <is>
          <t>P010</t>
        </is>
      </c>
      <c r="D90" t="inlineStr">
        <is>
          <t>Projector HD</t>
        </is>
      </c>
      <c r="E90" t="inlineStr">
        <is>
          <t>Projector</t>
        </is>
      </c>
      <c r="F90" t="inlineStr">
        <is>
          <t>Electronics</t>
        </is>
      </c>
      <c r="G90" t="n">
        <v>7</v>
      </c>
      <c r="H90" s="7" t="n">
        <v>32000</v>
      </c>
      <c r="I90" s="8" t="n">
        <v>0.05</v>
      </c>
      <c r="J90" s="7" t="n">
        <v>212800</v>
      </c>
      <c r="K90" t="inlineStr">
        <is>
          <t>Chattogram</t>
        </is>
      </c>
      <c r="L90" t="inlineStr">
        <is>
          <t>Arafat Hossain</t>
        </is>
      </c>
      <c r="M90" t="inlineStr">
        <is>
          <t>Prime Solutions</t>
        </is>
      </c>
    </row>
    <row r="91">
      <c r="A91" t="inlineStr">
        <is>
          <t>S0090</t>
        </is>
      </c>
      <c r="B91" s="6" t="n">
        <v>46075</v>
      </c>
      <c r="C91" t="inlineStr">
        <is>
          <t>P005</t>
        </is>
      </c>
      <c r="D91" t="inlineStr">
        <is>
          <t>Wireless Mouse</t>
        </is>
      </c>
      <c r="E91" t="inlineStr">
        <is>
          <t>Accessories</t>
        </is>
      </c>
      <c r="F91" t="inlineStr">
        <is>
          <t>Computer</t>
        </is>
      </c>
      <c r="G91" t="n">
        <v>2</v>
      </c>
      <c r="H91" s="7" t="n">
        <v>1400</v>
      </c>
      <c r="I91" s="8" t="n">
        <v>0.08</v>
      </c>
      <c r="J91" s="7" t="n">
        <v>2576</v>
      </c>
      <c r="K91" t="inlineStr">
        <is>
          <t>Dhaka</t>
        </is>
      </c>
      <c r="L91" t="inlineStr">
        <is>
          <t>Tanvir Rahman</t>
        </is>
      </c>
      <c r="M91" t="inlineStr">
        <is>
          <t>Sunrise Pharma</t>
        </is>
      </c>
    </row>
    <row r="92">
      <c r="A92" t="inlineStr">
        <is>
          <t>S0091</t>
        </is>
      </c>
      <c r="B92" s="6" t="n">
        <v>46212</v>
      </c>
      <c r="C92" t="inlineStr">
        <is>
          <t>P002</t>
        </is>
      </c>
      <c r="D92" t="inlineStr">
        <is>
          <t>Business Laptop 15</t>
        </is>
      </c>
      <c r="E92" t="inlineStr">
        <is>
          <t>Laptop</t>
        </is>
      </c>
      <c r="F92" t="inlineStr">
        <is>
          <t>Computer</t>
        </is>
      </c>
      <c r="G92" t="n">
        <v>6</v>
      </c>
      <c r="H92" s="7" t="n">
        <v>62000</v>
      </c>
      <c r="I92" s="8" t="n">
        <v>0</v>
      </c>
      <c r="J92" s="7" t="n">
        <v>372000</v>
      </c>
      <c r="K92" t="inlineStr">
        <is>
          <t>Rajshahi</t>
        </is>
      </c>
      <c r="L92" t="inlineStr">
        <is>
          <t>Maliha Karim</t>
        </is>
      </c>
      <c r="M92" t="inlineStr">
        <is>
          <t>Delta Garments</t>
        </is>
      </c>
    </row>
    <row r="93">
      <c r="A93" t="inlineStr">
        <is>
          <t>S0092</t>
        </is>
      </c>
      <c r="B93" s="6" t="n">
        <v>46244</v>
      </c>
      <c r="C93" t="inlineStr">
        <is>
          <t>P006</t>
        </is>
      </c>
      <c r="D93" t="inlineStr">
        <is>
          <t>Laser Printer</t>
        </is>
      </c>
      <c r="E93" t="inlineStr">
        <is>
          <t>Printer</t>
        </is>
      </c>
      <c r="F93" t="inlineStr">
        <is>
          <t>Office</t>
        </is>
      </c>
      <c r="G93" t="n">
        <v>8</v>
      </c>
      <c r="H93" s="7" t="n">
        <v>21500</v>
      </c>
      <c r="I93" s="8" t="n">
        <v>0.1</v>
      </c>
      <c r="J93" s="7" t="n">
        <v>154800</v>
      </c>
      <c r="K93" t="inlineStr">
        <is>
          <t>Chattogram</t>
        </is>
      </c>
      <c r="L93" t="inlineStr">
        <is>
          <t>Maliha Karim</t>
        </is>
      </c>
      <c r="M93" t="inlineStr">
        <is>
          <t>Nova Ltd.</t>
        </is>
      </c>
    </row>
    <row r="94">
      <c r="A94" t="inlineStr">
        <is>
          <t>S0093</t>
        </is>
      </c>
      <c r="B94" s="6" t="n">
        <v>46290</v>
      </c>
      <c r="C94" t="inlineStr">
        <is>
          <t>P005</t>
        </is>
      </c>
      <c r="D94" t="inlineStr">
        <is>
          <t>Wireless Mouse</t>
        </is>
      </c>
      <c r="E94" t="inlineStr">
        <is>
          <t>Accessories</t>
        </is>
      </c>
      <c r="F94" t="inlineStr">
        <is>
          <t>Computer</t>
        </is>
      </c>
      <c r="G94" t="n">
        <v>8</v>
      </c>
      <c r="H94" s="7" t="n">
        <v>1400</v>
      </c>
      <c r="I94" s="8" t="n">
        <v>0.05</v>
      </c>
      <c r="J94" s="7" t="n">
        <v>10640</v>
      </c>
      <c r="K94" t="inlineStr">
        <is>
          <t>Rajshahi</t>
        </is>
      </c>
      <c r="L94" t="inlineStr">
        <is>
          <t>Sakib Ahmed</t>
        </is>
      </c>
      <c r="M94" t="inlineStr">
        <is>
          <t>GreenTech</t>
        </is>
      </c>
    </row>
    <row r="95">
      <c r="A95" t="inlineStr">
        <is>
          <t>S0094</t>
        </is>
      </c>
      <c r="B95" s="6" t="n">
        <v>46188</v>
      </c>
      <c r="C95" t="inlineStr">
        <is>
          <t>P004</t>
        </is>
      </c>
      <c r="D95" t="inlineStr">
        <is>
          <t>Wireless Keyboard</t>
        </is>
      </c>
      <c r="E95" t="inlineStr">
        <is>
          <t>Accessories</t>
        </is>
      </c>
      <c r="F95" t="inlineStr">
        <is>
          <t>Computer</t>
        </is>
      </c>
      <c r="G95" t="n">
        <v>2</v>
      </c>
      <c r="H95" s="7" t="n">
        <v>2500</v>
      </c>
      <c r="I95" s="8" t="n">
        <v>0.03</v>
      </c>
      <c r="J95" s="7" t="n">
        <v>4850</v>
      </c>
      <c r="K95" t="inlineStr">
        <is>
          <t>Rajshahi</t>
        </is>
      </c>
      <c r="L95" t="inlineStr">
        <is>
          <t>Nusrat Jahan</t>
        </is>
      </c>
      <c r="M95" t="inlineStr">
        <is>
          <t>Eastland Group</t>
        </is>
      </c>
    </row>
    <row r="96">
      <c r="A96" t="inlineStr">
        <is>
          <t>S0095</t>
        </is>
      </c>
      <c r="B96" s="6" t="n">
        <v>46217</v>
      </c>
      <c r="C96" t="inlineStr">
        <is>
          <t>P006</t>
        </is>
      </c>
      <c r="D96" t="inlineStr">
        <is>
          <t>Laser Printer</t>
        </is>
      </c>
      <c r="E96" t="inlineStr">
        <is>
          <t>Printer</t>
        </is>
      </c>
      <c r="F96" t="inlineStr">
        <is>
          <t>Office</t>
        </is>
      </c>
      <c r="G96" t="n">
        <v>1</v>
      </c>
      <c r="H96" s="7" t="n">
        <v>21500</v>
      </c>
      <c r="I96" s="8" t="n">
        <v>0.05</v>
      </c>
      <c r="J96" s="7" t="n">
        <v>20425</v>
      </c>
      <c r="K96" t="inlineStr">
        <is>
          <t>Sylhet</t>
        </is>
      </c>
      <c r="L96" t="inlineStr">
        <is>
          <t>Nusrat Jahan</t>
        </is>
      </c>
      <c r="M96" t="inlineStr">
        <is>
          <t>Eastland Group</t>
        </is>
      </c>
    </row>
    <row r="97">
      <c r="A97" t="inlineStr">
        <is>
          <t>S0096</t>
        </is>
      </c>
      <c r="B97" s="6" t="n">
        <v>46131</v>
      </c>
      <c r="C97" t="inlineStr">
        <is>
          <t>P006</t>
        </is>
      </c>
      <c r="D97" t="inlineStr">
        <is>
          <t>Laser Printer</t>
        </is>
      </c>
      <c r="E97" t="inlineStr">
        <is>
          <t>Printer</t>
        </is>
      </c>
      <c r="F97" t="inlineStr">
        <is>
          <t>Office</t>
        </is>
      </c>
      <c r="G97" t="n">
        <v>5</v>
      </c>
      <c r="H97" s="7" t="n">
        <v>21500</v>
      </c>
      <c r="I97" s="8" t="n">
        <v>0.03</v>
      </c>
      <c r="J97" s="7" t="n">
        <v>104275</v>
      </c>
      <c r="K97" t="inlineStr">
        <is>
          <t>Sylhet</t>
        </is>
      </c>
      <c r="L97" t="inlineStr">
        <is>
          <t>Sakib Ahmed</t>
        </is>
      </c>
      <c r="M97" t="inlineStr">
        <is>
          <t>GreenTech</t>
        </is>
      </c>
    </row>
    <row r="98">
      <c r="A98" t="inlineStr">
        <is>
          <t>S0097</t>
        </is>
      </c>
      <c r="B98" s="6" t="n">
        <v>46028</v>
      </c>
      <c r="C98" t="inlineStr">
        <is>
          <t>P009</t>
        </is>
      </c>
      <c r="D98" t="inlineStr">
        <is>
          <t>UPS 1200VA</t>
        </is>
      </c>
      <c r="E98" t="inlineStr">
        <is>
          <t>Power</t>
        </is>
      </c>
      <c r="F98" t="inlineStr">
        <is>
          <t>Electronics</t>
        </is>
      </c>
      <c r="G98" t="n">
        <v>4</v>
      </c>
      <c r="H98" s="7" t="n">
        <v>9500</v>
      </c>
      <c r="I98" s="8" t="n">
        <v>0</v>
      </c>
      <c r="J98" s="7" t="n">
        <v>38000</v>
      </c>
      <c r="K98" t="inlineStr">
        <is>
          <t>Chattogram</t>
        </is>
      </c>
      <c r="L98" t="inlineStr">
        <is>
          <t>Maliha Karim</t>
        </is>
      </c>
      <c r="M98" t="inlineStr">
        <is>
          <t>Eastland Group</t>
        </is>
      </c>
    </row>
    <row r="99">
      <c r="A99" t="inlineStr">
        <is>
          <t>S0098</t>
        </is>
      </c>
      <c r="B99" s="6" t="n">
        <v>46146</v>
      </c>
      <c r="C99" t="inlineStr">
        <is>
          <t>P008</t>
        </is>
      </c>
      <c r="D99" t="inlineStr">
        <is>
          <t>Executive Desk</t>
        </is>
      </c>
      <c r="E99" t="inlineStr">
        <is>
          <t>Furniture</t>
        </is>
      </c>
      <c r="F99" t="inlineStr">
        <is>
          <t>Office</t>
        </is>
      </c>
      <c r="G99" t="n">
        <v>8</v>
      </c>
      <c r="H99" s="7" t="n">
        <v>28500</v>
      </c>
      <c r="I99" s="8" t="n">
        <v>0.05</v>
      </c>
      <c r="J99" s="7" t="n">
        <v>216600</v>
      </c>
      <c r="K99" t="inlineStr">
        <is>
          <t>Dhaka</t>
        </is>
      </c>
      <c r="L99" t="inlineStr">
        <is>
          <t>Arafat Hossain</t>
        </is>
      </c>
      <c r="M99" t="inlineStr">
        <is>
          <t>GreenTech</t>
        </is>
      </c>
    </row>
    <row r="100">
      <c r="A100" t="inlineStr">
        <is>
          <t>S0099</t>
        </is>
      </c>
      <c r="B100" s="6" t="n">
        <v>46136</v>
      </c>
      <c r="C100" t="inlineStr">
        <is>
          <t>P007</t>
        </is>
      </c>
      <c r="D100" t="inlineStr">
        <is>
          <t>Office Chair</t>
        </is>
      </c>
      <c r="E100" t="inlineStr">
        <is>
          <t>Furniture</t>
        </is>
      </c>
      <c r="F100" t="inlineStr">
        <is>
          <t>Office</t>
        </is>
      </c>
      <c r="G100" t="n">
        <v>4</v>
      </c>
      <c r="H100" s="7" t="n">
        <v>12500</v>
      </c>
      <c r="I100" s="8" t="n">
        <v>0.03</v>
      </c>
      <c r="J100" s="7" t="n">
        <v>48500</v>
      </c>
      <c r="K100" t="inlineStr">
        <is>
          <t>Khulna</t>
        </is>
      </c>
      <c r="L100" t="inlineStr">
        <is>
          <t>Tanvir Rahman</t>
        </is>
      </c>
      <c r="M100" t="inlineStr">
        <is>
          <t>Eastland Group</t>
        </is>
      </c>
    </row>
    <row r="101">
      <c r="A101" t="inlineStr">
        <is>
          <t>S0100</t>
        </is>
      </c>
      <c r="B101" s="6" t="n">
        <v>46294</v>
      </c>
      <c r="C101" t="inlineStr">
        <is>
          <t>P006</t>
        </is>
      </c>
      <c r="D101" t="inlineStr">
        <is>
          <t>Laser Printer</t>
        </is>
      </c>
      <c r="E101" t="inlineStr">
        <is>
          <t>Printer</t>
        </is>
      </c>
      <c r="F101" t="inlineStr">
        <is>
          <t>Office</t>
        </is>
      </c>
      <c r="G101" t="n">
        <v>7</v>
      </c>
      <c r="H101" s="7" t="n">
        <v>21500</v>
      </c>
      <c r="I101" s="8" t="n">
        <v>0.1</v>
      </c>
      <c r="J101" s="7" t="n">
        <v>135450</v>
      </c>
      <c r="K101" t="inlineStr">
        <is>
          <t>Khulna</t>
        </is>
      </c>
      <c r="L101" t="inlineStr">
        <is>
          <t>Tanvir Rahman</t>
        </is>
      </c>
      <c r="M101" t="inlineStr">
        <is>
          <t>Metro Holdings</t>
        </is>
      </c>
    </row>
    <row r="102">
      <c r="A102" t="inlineStr">
        <is>
          <t>S0101</t>
        </is>
      </c>
      <c r="B102" s="6" t="n">
        <v>46255</v>
      </c>
      <c r="C102" t="inlineStr">
        <is>
          <t>P005</t>
        </is>
      </c>
      <c r="D102" t="inlineStr">
        <is>
          <t>Wireless Mouse</t>
        </is>
      </c>
      <c r="E102" t="inlineStr">
        <is>
          <t>Accessories</t>
        </is>
      </c>
      <c r="F102" t="inlineStr">
        <is>
          <t>Computer</t>
        </is>
      </c>
      <c r="G102" t="n">
        <v>5</v>
      </c>
      <c r="H102" s="7" t="n">
        <v>1400</v>
      </c>
      <c r="I102" s="8" t="n">
        <v>0.03</v>
      </c>
      <c r="J102" s="7" t="n">
        <v>6790</v>
      </c>
      <c r="K102" t="inlineStr">
        <is>
          <t>Chattogram</t>
        </is>
      </c>
      <c r="L102" t="inlineStr">
        <is>
          <t>Arafat Hossain</t>
        </is>
      </c>
      <c r="M102" t="inlineStr">
        <is>
          <t>Prime Solutions</t>
        </is>
      </c>
    </row>
    <row r="103">
      <c r="A103" t="inlineStr">
        <is>
          <t>S0102</t>
        </is>
      </c>
      <c r="B103" s="6" t="n">
        <v>46184</v>
      </c>
      <c r="C103" t="inlineStr">
        <is>
          <t>P002</t>
        </is>
      </c>
      <c r="D103" t="inlineStr">
        <is>
          <t>Business Laptop 15</t>
        </is>
      </c>
      <c r="E103" t="inlineStr">
        <is>
          <t>Laptop</t>
        </is>
      </c>
      <c r="F103" t="inlineStr">
        <is>
          <t>Computer</t>
        </is>
      </c>
      <c r="G103" t="n">
        <v>3</v>
      </c>
      <c r="H103" s="7" t="n">
        <v>62000</v>
      </c>
      <c r="I103" s="8" t="n">
        <v>0</v>
      </c>
      <c r="J103" s="7" t="n">
        <v>186000</v>
      </c>
      <c r="K103" t="inlineStr">
        <is>
          <t>Chattogram</t>
        </is>
      </c>
      <c r="L103" t="inlineStr">
        <is>
          <t>Maliha Karim</t>
        </is>
      </c>
      <c r="M103" t="inlineStr">
        <is>
          <t>GreenTech</t>
        </is>
      </c>
    </row>
    <row r="104">
      <c r="A104" t="inlineStr">
        <is>
          <t>S0103</t>
        </is>
      </c>
      <c r="B104" s="6" t="n">
        <v>46291</v>
      </c>
      <c r="C104" t="inlineStr">
        <is>
          <t>P010</t>
        </is>
      </c>
      <c r="D104" t="inlineStr">
        <is>
          <t>Projector HD</t>
        </is>
      </c>
      <c r="E104" t="inlineStr">
        <is>
          <t>Projector</t>
        </is>
      </c>
      <c r="F104" t="inlineStr">
        <is>
          <t>Electronics</t>
        </is>
      </c>
      <c r="G104" t="n">
        <v>5</v>
      </c>
      <c r="H104" s="7" t="n">
        <v>32000</v>
      </c>
      <c r="I104" s="8" t="n">
        <v>0</v>
      </c>
      <c r="J104" s="7" t="n">
        <v>160000</v>
      </c>
      <c r="K104" t="inlineStr">
        <is>
          <t>Chattogram</t>
        </is>
      </c>
      <c r="L104" t="inlineStr">
        <is>
          <t>Tanvir Rahman</t>
        </is>
      </c>
      <c r="M104" t="inlineStr">
        <is>
          <t>Prime Solutions</t>
        </is>
      </c>
    </row>
    <row r="105">
      <c r="A105" t="inlineStr">
        <is>
          <t>S0104</t>
        </is>
      </c>
      <c r="B105" s="6" t="n">
        <v>46207</v>
      </c>
      <c r="C105" t="inlineStr">
        <is>
          <t>P003</t>
        </is>
      </c>
      <c r="D105" t="inlineStr">
        <is>
          <t>Office Monitor 24</t>
        </is>
      </c>
      <c r="E105" t="inlineStr">
        <is>
          <t>Monitor</t>
        </is>
      </c>
      <c r="F105" t="inlineStr">
        <is>
          <t>Computer</t>
        </is>
      </c>
      <c r="G105" t="n">
        <v>5</v>
      </c>
      <c r="H105" s="7" t="n">
        <v>18500</v>
      </c>
      <c r="I105" s="8" t="n">
        <v>0</v>
      </c>
      <c r="J105" s="7" t="n">
        <v>92500</v>
      </c>
      <c r="K105" t="inlineStr">
        <is>
          <t>Khulna</t>
        </is>
      </c>
      <c r="L105" t="inlineStr">
        <is>
          <t>Nusrat Jahan</t>
        </is>
      </c>
      <c r="M105" t="inlineStr">
        <is>
          <t>GreenTech</t>
        </is>
      </c>
    </row>
    <row r="106">
      <c r="A106" t="inlineStr">
        <is>
          <t>S0105</t>
        </is>
      </c>
      <c r="B106" s="6" t="n">
        <v>46046</v>
      </c>
      <c r="C106" t="inlineStr">
        <is>
          <t>P001</t>
        </is>
      </c>
      <c r="D106" t="inlineStr">
        <is>
          <t>Laptop Pro 14</t>
        </is>
      </c>
      <c r="E106" t="inlineStr">
        <is>
          <t>Laptop</t>
        </is>
      </c>
      <c r="F106" t="inlineStr">
        <is>
          <t>Computer</t>
        </is>
      </c>
      <c r="G106" t="n">
        <v>5</v>
      </c>
      <c r="H106" s="7" t="n">
        <v>78000</v>
      </c>
      <c r="I106" s="8" t="n">
        <v>0.1</v>
      </c>
      <c r="J106" s="7" t="n">
        <v>351000</v>
      </c>
      <c r="K106" t="inlineStr">
        <is>
          <t>Chattogram</t>
        </is>
      </c>
      <c r="L106" t="inlineStr">
        <is>
          <t>Maliha Karim</t>
        </is>
      </c>
      <c r="M106" t="inlineStr">
        <is>
          <t>Delta Garments</t>
        </is>
      </c>
    </row>
    <row r="107">
      <c r="A107" t="inlineStr">
        <is>
          <t>S0106</t>
        </is>
      </c>
      <c r="B107" s="6" t="n">
        <v>46029</v>
      </c>
      <c r="C107" t="inlineStr">
        <is>
          <t>P010</t>
        </is>
      </c>
      <c r="D107" t="inlineStr">
        <is>
          <t>Projector HD</t>
        </is>
      </c>
      <c r="E107" t="inlineStr">
        <is>
          <t>Projector</t>
        </is>
      </c>
      <c r="F107" t="inlineStr">
        <is>
          <t>Electronics</t>
        </is>
      </c>
      <c r="G107" t="n">
        <v>5</v>
      </c>
      <c r="H107" s="7" t="n">
        <v>32000</v>
      </c>
      <c r="I107" s="8" t="n">
        <v>0.05</v>
      </c>
      <c r="J107" s="7" t="n">
        <v>152000</v>
      </c>
      <c r="K107" t="inlineStr">
        <is>
          <t>Rajshahi</t>
        </is>
      </c>
      <c r="L107" t="inlineStr">
        <is>
          <t>Maliha Karim</t>
        </is>
      </c>
      <c r="M107" t="inlineStr">
        <is>
          <t>Metro Holdings</t>
        </is>
      </c>
    </row>
    <row r="108">
      <c r="A108" t="inlineStr">
        <is>
          <t>S0107</t>
        </is>
      </c>
      <c r="B108" s="6" t="n">
        <v>46117</v>
      </c>
      <c r="C108" t="inlineStr">
        <is>
          <t>P001</t>
        </is>
      </c>
      <c r="D108" t="inlineStr">
        <is>
          <t>Laptop Pro 14</t>
        </is>
      </c>
      <c r="E108" t="inlineStr">
        <is>
          <t>Laptop</t>
        </is>
      </c>
      <c r="F108" t="inlineStr">
        <is>
          <t>Computer</t>
        </is>
      </c>
      <c r="G108" t="n">
        <v>5</v>
      </c>
      <c r="H108" s="7" t="n">
        <v>78000</v>
      </c>
      <c r="I108" s="8" t="n">
        <v>0.05</v>
      </c>
      <c r="J108" s="7" t="n">
        <v>370500</v>
      </c>
      <c r="K108" t="inlineStr">
        <is>
          <t>Dhaka</t>
        </is>
      </c>
      <c r="L108" t="inlineStr">
        <is>
          <t>Arafat Hossain</t>
        </is>
      </c>
      <c r="M108" t="inlineStr">
        <is>
          <t>Sunrise Pharma</t>
        </is>
      </c>
    </row>
    <row r="109">
      <c r="A109" t="inlineStr">
        <is>
          <t>S0108</t>
        </is>
      </c>
      <c r="B109" s="6" t="n">
        <v>46274</v>
      </c>
      <c r="C109" t="inlineStr">
        <is>
          <t>P002</t>
        </is>
      </c>
      <c r="D109" t="inlineStr">
        <is>
          <t>Business Laptop 15</t>
        </is>
      </c>
      <c r="E109" t="inlineStr">
        <is>
          <t>Laptop</t>
        </is>
      </c>
      <c r="F109" t="inlineStr">
        <is>
          <t>Computer</t>
        </is>
      </c>
      <c r="G109" t="n">
        <v>1</v>
      </c>
      <c r="H109" s="7" t="n">
        <v>62000</v>
      </c>
      <c r="I109" s="8" t="n">
        <v>0</v>
      </c>
      <c r="J109" s="7" t="n">
        <v>62000</v>
      </c>
      <c r="K109" t="inlineStr">
        <is>
          <t>Chattogram</t>
        </is>
      </c>
      <c r="L109" t="inlineStr">
        <is>
          <t>Sakib Ahmed</t>
        </is>
      </c>
      <c r="M109" t="inlineStr">
        <is>
          <t>GreenTech</t>
        </is>
      </c>
    </row>
    <row r="110">
      <c r="A110" t="inlineStr">
        <is>
          <t>S0109</t>
        </is>
      </c>
      <c r="B110" s="6" t="n">
        <v>46066</v>
      </c>
      <c r="C110" t="inlineStr">
        <is>
          <t>P004</t>
        </is>
      </c>
      <c r="D110" t="inlineStr">
        <is>
          <t>Wireless Keyboard</t>
        </is>
      </c>
      <c r="E110" t="inlineStr">
        <is>
          <t>Accessories</t>
        </is>
      </c>
      <c r="F110" t="inlineStr">
        <is>
          <t>Computer</t>
        </is>
      </c>
      <c r="G110" t="n">
        <v>2</v>
      </c>
      <c r="H110" s="7" t="n">
        <v>2500</v>
      </c>
      <c r="I110" s="8" t="n">
        <v>0.08</v>
      </c>
      <c r="J110" s="7" t="n">
        <v>4600</v>
      </c>
      <c r="K110" t="inlineStr">
        <is>
          <t>Rajshahi</t>
        </is>
      </c>
      <c r="L110" t="inlineStr">
        <is>
          <t>Sakib Ahmed</t>
        </is>
      </c>
      <c r="M110" t="inlineStr">
        <is>
          <t>Prime Solutions</t>
        </is>
      </c>
    </row>
    <row r="111">
      <c r="A111" t="inlineStr">
        <is>
          <t>S0110</t>
        </is>
      </c>
      <c r="B111" s="6" t="n">
        <v>46290</v>
      </c>
      <c r="C111" t="inlineStr">
        <is>
          <t>P007</t>
        </is>
      </c>
      <c r="D111" t="inlineStr">
        <is>
          <t>Office Chair</t>
        </is>
      </c>
      <c r="E111" t="inlineStr">
        <is>
          <t>Furniture</t>
        </is>
      </c>
      <c r="F111" t="inlineStr">
        <is>
          <t>Office</t>
        </is>
      </c>
      <c r="G111" t="n">
        <v>8</v>
      </c>
      <c r="H111" s="7" t="n">
        <v>12500</v>
      </c>
      <c r="I111" s="8" t="n">
        <v>0.05</v>
      </c>
      <c r="J111" s="7" t="n">
        <v>95000</v>
      </c>
      <c r="K111" t="inlineStr">
        <is>
          <t>Sylhet</t>
        </is>
      </c>
      <c r="L111" t="inlineStr">
        <is>
          <t>Sakib Ahmed</t>
        </is>
      </c>
      <c r="M111" t="inlineStr">
        <is>
          <t>Sunrise Pharma</t>
        </is>
      </c>
    </row>
    <row r="112">
      <c r="A112" t="inlineStr">
        <is>
          <t>S0111</t>
        </is>
      </c>
      <c r="B112" s="6" t="n">
        <v>46179</v>
      </c>
      <c r="C112" t="inlineStr">
        <is>
          <t>P010</t>
        </is>
      </c>
      <c r="D112" t="inlineStr">
        <is>
          <t>Projector HD</t>
        </is>
      </c>
      <c r="E112" t="inlineStr">
        <is>
          <t>Projector</t>
        </is>
      </c>
      <c r="F112" t="inlineStr">
        <is>
          <t>Electronics</t>
        </is>
      </c>
      <c r="G112" t="n">
        <v>1</v>
      </c>
      <c r="H112" s="7" t="n">
        <v>32000</v>
      </c>
      <c r="I112" s="8" t="n">
        <v>0.08</v>
      </c>
      <c r="J112" s="7" t="n">
        <v>29440</v>
      </c>
      <c r="K112" t="inlineStr">
        <is>
          <t>Dhaka</t>
        </is>
      </c>
      <c r="L112" t="inlineStr">
        <is>
          <t>Nusrat Jahan</t>
        </is>
      </c>
      <c r="M112" t="inlineStr">
        <is>
          <t>Prime Solutions</t>
        </is>
      </c>
    </row>
    <row r="113">
      <c r="A113" t="inlineStr">
        <is>
          <t>S0112</t>
        </is>
      </c>
      <c r="B113" s="6" t="n">
        <v>46158</v>
      </c>
      <c r="C113" t="inlineStr">
        <is>
          <t>P002</t>
        </is>
      </c>
      <c r="D113" t="inlineStr">
        <is>
          <t>Business Laptop 15</t>
        </is>
      </c>
      <c r="E113" t="inlineStr">
        <is>
          <t>Laptop</t>
        </is>
      </c>
      <c r="F113" t="inlineStr">
        <is>
          <t>Computer</t>
        </is>
      </c>
      <c r="G113" t="n">
        <v>3</v>
      </c>
      <c r="H113" s="7" t="n">
        <v>62000</v>
      </c>
      <c r="I113" s="8" t="n">
        <v>0</v>
      </c>
      <c r="J113" s="7" t="n">
        <v>186000</v>
      </c>
      <c r="K113" t="inlineStr">
        <is>
          <t>Chattogram</t>
        </is>
      </c>
      <c r="L113" t="inlineStr">
        <is>
          <t>Sakib Ahmed</t>
        </is>
      </c>
      <c r="M113" t="inlineStr">
        <is>
          <t>Delta Garments</t>
        </is>
      </c>
    </row>
    <row r="114">
      <c r="A114" t="inlineStr">
        <is>
          <t>S0113</t>
        </is>
      </c>
      <c r="B114" s="6" t="n">
        <v>46103</v>
      </c>
      <c r="C114" t="inlineStr">
        <is>
          <t>P001</t>
        </is>
      </c>
      <c r="D114" t="inlineStr">
        <is>
          <t>Laptop Pro 14</t>
        </is>
      </c>
      <c r="E114" t="inlineStr">
        <is>
          <t>Laptop</t>
        </is>
      </c>
      <c r="F114" t="inlineStr">
        <is>
          <t>Computer</t>
        </is>
      </c>
      <c r="G114" t="n">
        <v>7</v>
      </c>
      <c r="H114" s="7" t="n">
        <v>78000</v>
      </c>
      <c r="I114" s="8" t="n">
        <v>0.05</v>
      </c>
      <c r="J114" s="7" t="n">
        <v>518700</v>
      </c>
      <c r="K114" t="inlineStr">
        <is>
          <t>Khulna</t>
        </is>
      </c>
      <c r="L114" t="inlineStr">
        <is>
          <t>Maliha Karim</t>
        </is>
      </c>
      <c r="M114" t="inlineStr">
        <is>
          <t>GreenTech</t>
        </is>
      </c>
    </row>
    <row r="115">
      <c r="A115" t="inlineStr">
        <is>
          <t>S0114</t>
        </is>
      </c>
      <c r="B115" s="6" t="n">
        <v>46039</v>
      </c>
      <c r="C115" t="inlineStr">
        <is>
          <t>P004</t>
        </is>
      </c>
      <c r="D115" t="inlineStr">
        <is>
          <t>Wireless Keyboard</t>
        </is>
      </c>
      <c r="E115" t="inlineStr">
        <is>
          <t>Accessories</t>
        </is>
      </c>
      <c r="F115" t="inlineStr">
        <is>
          <t>Computer</t>
        </is>
      </c>
      <c r="G115" t="n">
        <v>5</v>
      </c>
      <c r="H115" s="7" t="n">
        <v>2500</v>
      </c>
      <c r="I115" s="8" t="n">
        <v>0.1</v>
      </c>
      <c r="J115" s="7" t="n">
        <v>11250</v>
      </c>
      <c r="K115" t="inlineStr">
        <is>
          <t>Sylhet</t>
        </is>
      </c>
      <c r="L115" t="inlineStr">
        <is>
          <t>Maliha Karim</t>
        </is>
      </c>
      <c r="M115" t="inlineStr">
        <is>
          <t>Delta Garments</t>
        </is>
      </c>
    </row>
    <row r="116">
      <c r="A116" t="inlineStr">
        <is>
          <t>S0115</t>
        </is>
      </c>
      <c r="B116" s="6" t="n">
        <v>46142</v>
      </c>
      <c r="C116" t="inlineStr">
        <is>
          <t>P005</t>
        </is>
      </c>
      <c r="D116" t="inlineStr">
        <is>
          <t>Wireless Mouse</t>
        </is>
      </c>
      <c r="E116" t="inlineStr">
        <is>
          <t>Accessories</t>
        </is>
      </c>
      <c r="F116" t="inlineStr">
        <is>
          <t>Computer</t>
        </is>
      </c>
      <c r="G116" t="n">
        <v>4</v>
      </c>
      <c r="H116" s="7" t="n">
        <v>1400</v>
      </c>
      <c r="I116" s="8" t="n">
        <v>0.05</v>
      </c>
      <c r="J116" s="7" t="n">
        <v>5320</v>
      </c>
      <c r="K116" t="inlineStr">
        <is>
          <t>Dhaka</t>
        </is>
      </c>
      <c r="L116" t="inlineStr">
        <is>
          <t>Sakib Ahmed</t>
        </is>
      </c>
      <c r="M116" t="inlineStr">
        <is>
          <t>Prime Solutions</t>
        </is>
      </c>
    </row>
    <row r="117">
      <c r="A117" t="inlineStr">
        <is>
          <t>S0116</t>
        </is>
      </c>
      <c r="B117" s="6" t="n">
        <v>46099</v>
      </c>
      <c r="C117" t="inlineStr">
        <is>
          <t>P005</t>
        </is>
      </c>
      <c r="D117" t="inlineStr">
        <is>
          <t>Wireless Mouse</t>
        </is>
      </c>
      <c r="E117" t="inlineStr">
        <is>
          <t>Accessories</t>
        </is>
      </c>
      <c r="F117" t="inlineStr">
        <is>
          <t>Computer</t>
        </is>
      </c>
      <c r="G117" t="n">
        <v>3</v>
      </c>
      <c r="H117" s="7" t="n">
        <v>1400</v>
      </c>
      <c r="I117" s="8" t="n">
        <v>0</v>
      </c>
      <c r="J117" s="7" t="n">
        <v>4200</v>
      </c>
      <c r="K117" t="inlineStr">
        <is>
          <t>Dhaka</t>
        </is>
      </c>
      <c r="L117" t="inlineStr">
        <is>
          <t>Nusrat Jahan</t>
        </is>
      </c>
      <c r="M117" t="inlineStr">
        <is>
          <t>GreenTech</t>
        </is>
      </c>
    </row>
    <row r="118">
      <c r="A118" t="inlineStr">
        <is>
          <t>S0117</t>
        </is>
      </c>
      <c r="B118" s="6" t="n">
        <v>46170</v>
      </c>
      <c r="C118" t="inlineStr">
        <is>
          <t>P008</t>
        </is>
      </c>
      <c r="D118" t="inlineStr">
        <is>
          <t>Executive Desk</t>
        </is>
      </c>
      <c r="E118" t="inlineStr">
        <is>
          <t>Furniture</t>
        </is>
      </c>
      <c r="F118" t="inlineStr">
        <is>
          <t>Office</t>
        </is>
      </c>
      <c r="G118" t="n">
        <v>2</v>
      </c>
      <c r="H118" s="7" t="n">
        <v>28500</v>
      </c>
      <c r="I118" s="8" t="n">
        <v>0.05</v>
      </c>
      <c r="J118" s="7" t="n">
        <v>54150</v>
      </c>
      <c r="K118" t="inlineStr">
        <is>
          <t>Sylhet</t>
        </is>
      </c>
      <c r="L118" t="inlineStr">
        <is>
          <t>Maliha Karim</t>
        </is>
      </c>
      <c r="M118" t="inlineStr">
        <is>
          <t>GreenTech</t>
        </is>
      </c>
    </row>
    <row r="119">
      <c r="A119" t="inlineStr">
        <is>
          <t>S0118</t>
        </is>
      </c>
      <c r="B119" s="6" t="n">
        <v>46279</v>
      </c>
      <c r="C119" t="inlineStr">
        <is>
          <t>P009</t>
        </is>
      </c>
      <c r="D119" t="inlineStr">
        <is>
          <t>UPS 1200VA</t>
        </is>
      </c>
      <c r="E119" t="inlineStr">
        <is>
          <t>Power</t>
        </is>
      </c>
      <c r="F119" t="inlineStr">
        <is>
          <t>Electronics</t>
        </is>
      </c>
      <c r="G119" t="n">
        <v>8</v>
      </c>
      <c r="H119" s="7" t="n">
        <v>9500</v>
      </c>
      <c r="I119" s="8" t="n">
        <v>0.05</v>
      </c>
      <c r="J119" s="7" t="n">
        <v>72200</v>
      </c>
      <c r="K119" t="inlineStr">
        <is>
          <t>Dhaka</t>
        </is>
      </c>
      <c r="L119" t="inlineStr">
        <is>
          <t>Sakib Ahmed</t>
        </is>
      </c>
      <c r="M119" t="inlineStr">
        <is>
          <t>ABC Trading</t>
        </is>
      </c>
    </row>
    <row r="120">
      <c r="A120" t="inlineStr">
        <is>
          <t>S0119</t>
        </is>
      </c>
      <c r="B120" s="6" t="n">
        <v>46244</v>
      </c>
      <c r="C120" t="inlineStr">
        <is>
          <t>P006</t>
        </is>
      </c>
      <c r="D120" t="inlineStr">
        <is>
          <t>Laser Printer</t>
        </is>
      </c>
      <c r="E120" t="inlineStr">
        <is>
          <t>Printer</t>
        </is>
      </c>
      <c r="F120" t="inlineStr">
        <is>
          <t>Office</t>
        </is>
      </c>
      <c r="G120" t="n">
        <v>5</v>
      </c>
      <c r="H120" s="7" t="n">
        <v>21500</v>
      </c>
      <c r="I120" s="8" t="n">
        <v>0</v>
      </c>
      <c r="J120" s="7" t="n">
        <v>107500</v>
      </c>
      <c r="K120" t="inlineStr">
        <is>
          <t>Dhaka</t>
        </is>
      </c>
      <c r="L120" t="inlineStr">
        <is>
          <t>Nusrat Jahan</t>
        </is>
      </c>
      <c r="M120" t="inlineStr">
        <is>
          <t>ABC Trading</t>
        </is>
      </c>
    </row>
    <row r="121">
      <c r="A121" t="inlineStr">
        <is>
          <t>S0120</t>
        </is>
      </c>
      <c r="B121" s="6" t="n">
        <v>46160</v>
      </c>
      <c r="C121" t="inlineStr">
        <is>
          <t>P010</t>
        </is>
      </c>
      <c r="D121" t="inlineStr">
        <is>
          <t>Projector HD</t>
        </is>
      </c>
      <c r="E121" t="inlineStr">
        <is>
          <t>Projector</t>
        </is>
      </c>
      <c r="F121" t="inlineStr">
        <is>
          <t>Electronics</t>
        </is>
      </c>
      <c r="G121" t="n">
        <v>1</v>
      </c>
      <c r="H121" s="7" t="n">
        <v>32000</v>
      </c>
      <c r="I121" s="8" t="n">
        <v>0</v>
      </c>
      <c r="J121" s="7" t="n">
        <v>32000</v>
      </c>
      <c r="K121" t="inlineStr">
        <is>
          <t>Rajshahi</t>
        </is>
      </c>
      <c r="L121" t="inlineStr">
        <is>
          <t>Sakib Ahmed</t>
        </is>
      </c>
      <c r="M121" t="inlineStr">
        <is>
          <t>Eastland Group</t>
        </is>
      </c>
    </row>
    <row r="122">
      <c r="A122" t="inlineStr">
        <is>
          <t>S0121</t>
        </is>
      </c>
      <c r="B122" s="6" t="n">
        <v>46165</v>
      </c>
      <c r="C122" t="inlineStr">
        <is>
          <t>P003</t>
        </is>
      </c>
      <c r="D122" t="inlineStr">
        <is>
          <t>Office Monitor 24</t>
        </is>
      </c>
      <c r="E122" t="inlineStr">
        <is>
          <t>Monitor</t>
        </is>
      </c>
      <c r="F122" t="inlineStr">
        <is>
          <t>Computer</t>
        </is>
      </c>
      <c r="G122" t="n">
        <v>7</v>
      </c>
      <c r="H122" s="7" t="n">
        <v>18500</v>
      </c>
      <c r="I122" s="8" t="n">
        <v>0.1</v>
      </c>
      <c r="J122" s="7" t="n">
        <v>116550</v>
      </c>
      <c r="K122" t="inlineStr">
        <is>
          <t>Rajshahi</t>
        </is>
      </c>
      <c r="L122" t="inlineStr">
        <is>
          <t>Arafat Hossain</t>
        </is>
      </c>
      <c r="M122" t="inlineStr">
        <is>
          <t>Eastland Group</t>
        </is>
      </c>
    </row>
    <row r="123">
      <c r="A123" t="inlineStr">
        <is>
          <t>S0122</t>
        </is>
      </c>
      <c r="B123" s="6" t="n">
        <v>46201</v>
      </c>
      <c r="C123" t="inlineStr">
        <is>
          <t>P007</t>
        </is>
      </c>
      <c r="D123" t="inlineStr">
        <is>
          <t>Office Chair</t>
        </is>
      </c>
      <c r="E123" t="inlineStr">
        <is>
          <t>Furniture</t>
        </is>
      </c>
      <c r="F123" t="inlineStr">
        <is>
          <t>Office</t>
        </is>
      </c>
      <c r="G123" t="n">
        <v>6</v>
      </c>
      <c r="H123" s="7" t="n">
        <v>12500</v>
      </c>
      <c r="I123" s="8" t="n">
        <v>0.03</v>
      </c>
      <c r="J123" s="7" t="n">
        <v>72750</v>
      </c>
      <c r="K123" t="inlineStr">
        <is>
          <t>Dhaka</t>
        </is>
      </c>
      <c r="L123" t="inlineStr">
        <is>
          <t>Nusrat Jahan</t>
        </is>
      </c>
      <c r="M123" t="inlineStr">
        <is>
          <t>Metro Holdings</t>
        </is>
      </c>
    </row>
    <row r="124">
      <c r="A124" t="inlineStr">
        <is>
          <t>S0123</t>
        </is>
      </c>
      <c r="B124" s="6" t="n">
        <v>46233</v>
      </c>
      <c r="C124" t="inlineStr">
        <is>
          <t>P008</t>
        </is>
      </c>
      <c r="D124" t="inlineStr">
        <is>
          <t>Executive Desk</t>
        </is>
      </c>
      <c r="E124" t="inlineStr">
        <is>
          <t>Furniture</t>
        </is>
      </c>
      <c r="F124" t="inlineStr">
        <is>
          <t>Office</t>
        </is>
      </c>
      <c r="G124" t="n">
        <v>5</v>
      </c>
      <c r="H124" s="7" t="n">
        <v>28500</v>
      </c>
      <c r="I124" s="8" t="n">
        <v>0.1</v>
      </c>
      <c r="J124" s="7" t="n">
        <v>128250</v>
      </c>
      <c r="K124" t="inlineStr">
        <is>
          <t>Rajshahi</t>
        </is>
      </c>
      <c r="L124" t="inlineStr">
        <is>
          <t>Sakib Ahmed</t>
        </is>
      </c>
      <c r="M124" t="inlineStr">
        <is>
          <t>ABC Trading</t>
        </is>
      </c>
    </row>
    <row r="125">
      <c r="A125" t="inlineStr">
        <is>
          <t>S0124</t>
        </is>
      </c>
      <c r="B125" s="6" t="n">
        <v>46255</v>
      </c>
      <c r="C125" t="inlineStr">
        <is>
          <t>P002</t>
        </is>
      </c>
      <c r="D125" t="inlineStr">
        <is>
          <t>Business Laptop 15</t>
        </is>
      </c>
      <c r="E125" t="inlineStr">
        <is>
          <t>Laptop</t>
        </is>
      </c>
      <c r="F125" t="inlineStr">
        <is>
          <t>Computer</t>
        </is>
      </c>
      <c r="G125" t="n">
        <v>6</v>
      </c>
      <c r="H125" s="7" t="n">
        <v>62000</v>
      </c>
      <c r="I125" s="8" t="n">
        <v>0.03</v>
      </c>
      <c r="J125" s="7" t="n">
        <v>360840</v>
      </c>
      <c r="K125" t="inlineStr">
        <is>
          <t>Sylhet</t>
        </is>
      </c>
      <c r="L125" t="inlineStr">
        <is>
          <t>Arafat Hossain</t>
        </is>
      </c>
      <c r="M125" t="inlineStr">
        <is>
          <t>Sunrise Pharma</t>
        </is>
      </c>
    </row>
    <row r="126">
      <c r="A126" t="inlineStr">
        <is>
          <t>S0125</t>
        </is>
      </c>
      <c r="B126" s="6" t="n">
        <v>46286</v>
      </c>
      <c r="C126" t="inlineStr">
        <is>
          <t>P001</t>
        </is>
      </c>
      <c r="D126" t="inlineStr">
        <is>
          <t>Laptop Pro 14</t>
        </is>
      </c>
      <c r="E126" t="inlineStr">
        <is>
          <t>Laptop</t>
        </is>
      </c>
      <c r="F126" t="inlineStr">
        <is>
          <t>Computer</t>
        </is>
      </c>
      <c r="G126" t="n">
        <v>8</v>
      </c>
      <c r="H126" s="7" t="n">
        <v>78000</v>
      </c>
      <c r="I126" s="8" t="n">
        <v>0.05</v>
      </c>
      <c r="J126" s="7" t="n">
        <v>592800</v>
      </c>
      <c r="K126" t="inlineStr">
        <is>
          <t>Dhaka</t>
        </is>
      </c>
      <c r="L126" t="inlineStr">
        <is>
          <t>Nusrat Jahan</t>
        </is>
      </c>
      <c r="M126" t="inlineStr">
        <is>
          <t>Metro Holdings</t>
        </is>
      </c>
    </row>
    <row r="127">
      <c r="A127" t="inlineStr">
        <is>
          <t>S0126</t>
        </is>
      </c>
      <c r="B127" s="6" t="n">
        <v>46278</v>
      </c>
      <c r="C127" t="inlineStr">
        <is>
          <t>P008</t>
        </is>
      </c>
      <c r="D127" t="inlineStr">
        <is>
          <t>Executive Desk</t>
        </is>
      </c>
      <c r="E127" t="inlineStr">
        <is>
          <t>Furniture</t>
        </is>
      </c>
      <c r="F127" t="inlineStr">
        <is>
          <t>Office</t>
        </is>
      </c>
      <c r="G127" t="n">
        <v>1</v>
      </c>
      <c r="H127" s="7" t="n">
        <v>28500</v>
      </c>
      <c r="I127" s="8" t="n">
        <v>0</v>
      </c>
      <c r="J127" s="7" t="n">
        <v>28500</v>
      </c>
      <c r="K127" t="inlineStr">
        <is>
          <t>Sylhet</t>
        </is>
      </c>
      <c r="L127" t="inlineStr">
        <is>
          <t>Sakib Ahmed</t>
        </is>
      </c>
      <c r="M127" t="inlineStr">
        <is>
          <t>Nova Ltd.</t>
        </is>
      </c>
    </row>
    <row r="128">
      <c r="A128" t="inlineStr">
        <is>
          <t>S0127</t>
        </is>
      </c>
      <c r="B128" s="6" t="n">
        <v>46170</v>
      </c>
      <c r="C128" t="inlineStr">
        <is>
          <t>P008</t>
        </is>
      </c>
      <c r="D128" t="inlineStr">
        <is>
          <t>Executive Desk</t>
        </is>
      </c>
      <c r="E128" t="inlineStr">
        <is>
          <t>Furniture</t>
        </is>
      </c>
      <c r="F128" t="inlineStr">
        <is>
          <t>Office</t>
        </is>
      </c>
      <c r="G128" t="n">
        <v>8</v>
      </c>
      <c r="H128" s="7" t="n">
        <v>28500</v>
      </c>
      <c r="I128" s="8" t="n">
        <v>0</v>
      </c>
      <c r="J128" s="7" t="n">
        <v>228000</v>
      </c>
      <c r="K128" t="inlineStr">
        <is>
          <t>Dhaka</t>
        </is>
      </c>
      <c r="L128" t="inlineStr">
        <is>
          <t>Sakib Ahmed</t>
        </is>
      </c>
      <c r="M128" t="inlineStr">
        <is>
          <t>Prime Solutions</t>
        </is>
      </c>
    </row>
    <row r="129">
      <c r="A129" t="inlineStr">
        <is>
          <t>S0128</t>
        </is>
      </c>
      <c r="B129" s="6" t="n">
        <v>46104</v>
      </c>
      <c r="C129" t="inlineStr">
        <is>
          <t>P005</t>
        </is>
      </c>
      <c r="D129" t="inlineStr">
        <is>
          <t>Wireless Mouse</t>
        </is>
      </c>
      <c r="E129" t="inlineStr">
        <is>
          <t>Accessories</t>
        </is>
      </c>
      <c r="F129" t="inlineStr">
        <is>
          <t>Computer</t>
        </is>
      </c>
      <c r="G129" t="n">
        <v>1</v>
      </c>
      <c r="H129" s="7" t="n">
        <v>1400</v>
      </c>
      <c r="I129" s="8" t="n">
        <v>0.08</v>
      </c>
      <c r="J129" s="7" t="n">
        <v>1288</v>
      </c>
      <c r="K129" t="inlineStr">
        <is>
          <t>Rajshahi</t>
        </is>
      </c>
      <c r="L129" t="inlineStr">
        <is>
          <t>Arafat Hossain</t>
        </is>
      </c>
      <c r="M129" t="inlineStr">
        <is>
          <t>Prime Solutions</t>
        </is>
      </c>
    </row>
    <row r="130">
      <c r="A130" t="inlineStr">
        <is>
          <t>S0129</t>
        </is>
      </c>
      <c r="B130" s="6" t="n">
        <v>46081</v>
      </c>
      <c r="C130" t="inlineStr">
        <is>
          <t>P008</t>
        </is>
      </c>
      <c r="D130" t="inlineStr">
        <is>
          <t>Executive Desk</t>
        </is>
      </c>
      <c r="E130" t="inlineStr">
        <is>
          <t>Furniture</t>
        </is>
      </c>
      <c r="F130" t="inlineStr">
        <is>
          <t>Office</t>
        </is>
      </c>
      <c r="G130" t="n">
        <v>2</v>
      </c>
      <c r="H130" s="7" t="n">
        <v>28500</v>
      </c>
      <c r="I130" s="8" t="n">
        <v>0.1</v>
      </c>
      <c r="J130" s="7" t="n">
        <v>51300</v>
      </c>
      <c r="K130" t="inlineStr">
        <is>
          <t>Chattogram</t>
        </is>
      </c>
      <c r="L130" t="inlineStr">
        <is>
          <t>Maliha Karim</t>
        </is>
      </c>
      <c r="M130" t="inlineStr">
        <is>
          <t>GreenTech</t>
        </is>
      </c>
    </row>
    <row r="131">
      <c r="A131" t="inlineStr">
        <is>
          <t>S0130</t>
        </is>
      </c>
      <c r="B131" s="6" t="n">
        <v>46283</v>
      </c>
      <c r="C131" t="inlineStr">
        <is>
          <t>P005</t>
        </is>
      </c>
      <c r="D131" t="inlineStr">
        <is>
          <t>Wireless Mouse</t>
        </is>
      </c>
      <c r="E131" t="inlineStr">
        <is>
          <t>Accessories</t>
        </is>
      </c>
      <c r="F131" t="inlineStr">
        <is>
          <t>Computer</t>
        </is>
      </c>
      <c r="G131" t="n">
        <v>7</v>
      </c>
      <c r="H131" s="7" t="n">
        <v>1400</v>
      </c>
      <c r="I131" s="8" t="n">
        <v>0.05</v>
      </c>
      <c r="J131" s="7" t="n">
        <v>9310</v>
      </c>
      <c r="K131" t="inlineStr">
        <is>
          <t>Rajshahi</t>
        </is>
      </c>
      <c r="L131" t="inlineStr">
        <is>
          <t>Nusrat Jahan</t>
        </is>
      </c>
      <c r="M131" t="inlineStr">
        <is>
          <t>Eastland Group</t>
        </is>
      </c>
    </row>
    <row r="132">
      <c r="A132" t="inlineStr">
        <is>
          <t>S0131</t>
        </is>
      </c>
      <c r="B132" s="6" t="n">
        <v>46097</v>
      </c>
      <c r="C132" t="inlineStr">
        <is>
          <t>P007</t>
        </is>
      </c>
      <c r="D132" t="inlineStr">
        <is>
          <t>Office Chair</t>
        </is>
      </c>
      <c r="E132" t="inlineStr">
        <is>
          <t>Furniture</t>
        </is>
      </c>
      <c r="F132" t="inlineStr">
        <is>
          <t>Office</t>
        </is>
      </c>
      <c r="G132" t="n">
        <v>4</v>
      </c>
      <c r="H132" s="7" t="n">
        <v>12500</v>
      </c>
      <c r="I132" s="8" t="n">
        <v>0.08</v>
      </c>
      <c r="J132" s="7" t="n">
        <v>46000</v>
      </c>
      <c r="K132" t="inlineStr">
        <is>
          <t>Khulna</t>
        </is>
      </c>
      <c r="L132" t="inlineStr">
        <is>
          <t>Nusrat Jahan</t>
        </is>
      </c>
      <c r="M132" t="inlineStr">
        <is>
          <t>Delta Garments</t>
        </is>
      </c>
    </row>
    <row r="133">
      <c r="A133" t="inlineStr">
        <is>
          <t>S0132</t>
        </is>
      </c>
      <c r="B133" s="6" t="n">
        <v>46164</v>
      </c>
      <c r="C133" t="inlineStr">
        <is>
          <t>P007</t>
        </is>
      </c>
      <c r="D133" t="inlineStr">
        <is>
          <t>Office Chair</t>
        </is>
      </c>
      <c r="E133" t="inlineStr">
        <is>
          <t>Furniture</t>
        </is>
      </c>
      <c r="F133" t="inlineStr">
        <is>
          <t>Office</t>
        </is>
      </c>
      <c r="G133" t="n">
        <v>6</v>
      </c>
      <c r="H133" s="7" t="n">
        <v>12500</v>
      </c>
      <c r="I133" s="8" t="n">
        <v>0.08</v>
      </c>
      <c r="J133" s="7" t="n">
        <v>69000</v>
      </c>
      <c r="K133" t="inlineStr">
        <is>
          <t>Sylhet</t>
        </is>
      </c>
      <c r="L133" t="inlineStr">
        <is>
          <t>Arafat Hossain</t>
        </is>
      </c>
      <c r="M133" t="inlineStr">
        <is>
          <t>GreenTech</t>
        </is>
      </c>
    </row>
    <row r="134">
      <c r="A134" t="inlineStr">
        <is>
          <t>S0133</t>
        </is>
      </c>
      <c r="B134" s="6" t="n">
        <v>46175</v>
      </c>
      <c r="C134" t="inlineStr">
        <is>
          <t>P010</t>
        </is>
      </c>
      <c r="D134" t="inlineStr">
        <is>
          <t>Projector HD</t>
        </is>
      </c>
      <c r="E134" t="inlineStr">
        <is>
          <t>Projector</t>
        </is>
      </c>
      <c r="F134" t="inlineStr">
        <is>
          <t>Electronics</t>
        </is>
      </c>
      <c r="G134" t="n">
        <v>8</v>
      </c>
      <c r="H134" s="7" t="n">
        <v>32000</v>
      </c>
      <c r="I134" s="8" t="n">
        <v>0</v>
      </c>
      <c r="J134" s="7" t="n">
        <v>256000</v>
      </c>
      <c r="K134" t="inlineStr">
        <is>
          <t>Rajshahi</t>
        </is>
      </c>
      <c r="L134" t="inlineStr">
        <is>
          <t>Sakib Ahmed</t>
        </is>
      </c>
      <c r="M134" t="inlineStr">
        <is>
          <t>Eastland Group</t>
        </is>
      </c>
    </row>
    <row r="135">
      <c r="A135" t="inlineStr">
        <is>
          <t>S0134</t>
        </is>
      </c>
      <c r="B135" s="6" t="n">
        <v>46199</v>
      </c>
      <c r="C135" t="inlineStr">
        <is>
          <t>P006</t>
        </is>
      </c>
      <c r="D135" t="inlineStr">
        <is>
          <t>Laser Printer</t>
        </is>
      </c>
      <c r="E135" t="inlineStr">
        <is>
          <t>Printer</t>
        </is>
      </c>
      <c r="F135" t="inlineStr">
        <is>
          <t>Office</t>
        </is>
      </c>
      <c r="G135" t="n">
        <v>7</v>
      </c>
      <c r="H135" s="7" t="n">
        <v>21500</v>
      </c>
      <c r="I135" s="8" t="n">
        <v>0.05</v>
      </c>
      <c r="J135" s="7" t="n">
        <v>142975</v>
      </c>
      <c r="K135" t="inlineStr">
        <is>
          <t>Sylhet</t>
        </is>
      </c>
      <c r="L135" t="inlineStr">
        <is>
          <t>Nusrat Jahan</t>
        </is>
      </c>
      <c r="M135" t="inlineStr">
        <is>
          <t>Prime Solutions</t>
        </is>
      </c>
    </row>
    <row r="136">
      <c r="A136" t="inlineStr">
        <is>
          <t>S0135</t>
        </is>
      </c>
      <c r="B136" s="6" t="n">
        <v>46219</v>
      </c>
      <c r="C136" t="inlineStr">
        <is>
          <t>P004</t>
        </is>
      </c>
      <c r="D136" t="inlineStr">
        <is>
          <t>Wireless Keyboard</t>
        </is>
      </c>
      <c r="E136" t="inlineStr">
        <is>
          <t>Accessories</t>
        </is>
      </c>
      <c r="F136" t="inlineStr">
        <is>
          <t>Computer</t>
        </is>
      </c>
      <c r="G136" t="n">
        <v>7</v>
      </c>
      <c r="H136" s="7" t="n">
        <v>2500</v>
      </c>
      <c r="I136" s="8" t="n">
        <v>0</v>
      </c>
      <c r="J136" s="7" t="n">
        <v>17500</v>
      </c>
      <c r="K136" t="inlineStr">
        <is>
          <t>Sylhet</t>
        </is>
      </c>
      <c r="L136" t="inlineStr">
        <is>
          <t>Maliha Karim</t>
        </is>
      </c>
      <c r="M136" t="inlineStr">
        <is>
          <t>Sunrise Pharma</t>
        </is>
      </c>
    </row>
    <row r="137">
      <c r="A137" t="inlineStr">
        <is>
          <t>S0136</t>
        </is>
      </c>
      <c r="B137" s="6" t="n">
        <v>46220</v>
      </c>
      <c r="C137" t="inlineStr">
        <is>
          <t>P003</t>
        </is>
      </c>
      <c r="D137" t="inlineStr">
        <is>
          <t>Office Monitor 24</t>
        </is>
      </c>
      <c r="E137" t="inlineStr">
        <is>
          <t>Monitor</t>
        </is>
      </c>
      <c r="F137" t="inlineStr">
        <is>
          <t>Computer</t>
        </is>
      </c>
      <c r="G137" t="n">
        <v>8</v>
      </c>
      <c r="H137" s="7" t="n">
        <v>18500</v>
      </c>
      <c r="I137" s="8" t="n">
        <v>0</v>
      </c>
      <c r="J137" s="7" t="n">
        <v>148000</v>
      </c>
      <c r="K137" t="inlineStr">
        <is>
          <t>Chattogram</t>
        </is>
      </c>
      <c r="L137" t="inlineStr">
        <is>
          <t>Sakib Ahmed</t>
        </is>
      </c>
      <c r="M137" t="inlineStr">
        <is>
          <t>Metro Holdings</t>
        </is>
      </c>
    </row>
    <row r="138">
      <c r="A138" t="inlineStr">
        <is>
          <t>S0137</t>
        </is>
      </c>
      <c r="B138" s="6" t="n">
        <v>46074</v>
      </c>
      <c r="C138" t="inlineStr">
        <is>
          <t>P008</t>
        </is>
      </c>
      <c r="D138" t="inlineStr">
        <is>
          <t>Executive Desk</t>
        </is>
      </c>
      <c r="E138" t="inlineStr">
        <is>
          <t>Furniture</t>
        </is>
      </c>
      <c r="F138" t="inlineStr">
        <is>
          <t>Office</t>
        </is>
      </c>
      <c r="G138" t="n">
        <v>2</v>
      </c>
      <c r="H138" s="7" t="n">
        <v>28500</v>
      </c>
      <c r="I138" s="8" t="n">
        <v>0.08</v>
      </c>
      <c r="J138" s="7" t="n">
        <v>52440</v>
      </c>
      <c r="K138" t="inlineStr">
        <is>
          <t>Rajshahi</t>
        </is>
      </c>
      <c r="L138" t="inlineStr">
        <is>
          <t>Arafat Hossain</t>
        </is>
      </c>
      <c r="M138" t="inlineStr">
        <is>
          <t>Nova Ltd.</t>
        </is>
      </c>
    </row>
    <row r="139">
      <c r="A139" t="inlineStr">
        <is>
          <t>S0138</t>
        </is>
      </c>
      <c r="B139" s="6" t="n">
        <v>46232</v>
      </c>
      <c r="C139" t="inlineStr">
        <is>
          <t>P003</t>
        </is>
      </c>
      <c r="D139" t="inlineStr">
        <is>
          <t>Office Monitor 24</t>
        </is>
      </c>
      <c r="E139" t="inlineStr">
        <is>
          <t>Monitor</t>
        </is>
      </c>
      <c r="F139" t="inlineStr">
        <is>
          <t>Computer</t>
        </is>
      </c>
      <c r="G139" t="n">
        <v>2</v>
      </c>
      <c r="H139" s="7" t="n">
        <v>18500</v>
      </c>
      <c r="I139" s="8" t="n">
        <v>0.05</v>
      </c>
      <c r="J139" s="7" t="n">
        <v>35150</v>
      </c>
      <c r="K139" t="inlineStr">
        <is>
          <t>Sylhet</t>
        </is>
      </c>
      <c r="L139" t="inlineStr">
        <is>
          <t>Tanvir Rahman</t>
        </is>
      </c>
      <c r="M139" t="inlineStr">
        <is>
          <t>Sunrise Pharma</t>
        </is>
      </c>
    </row>
    <row r="140">
      <c r="A140" t="inlineStr">
        <is>
          <t>S0139</t>
        </is>
      </c>
      <c r="B140" s="6" t="n">
        <v>46064</v>
      </c>
      <c r="C140" t="inlineStr">
        <is>
          <t>P006</t>
        </is>
      </c>
      <c r="D140" t="inlineStr">
        <is>
          <t>Laser Printer</t>
        </is>
      </c>
      <c r="E140" t="inlineStr">
        <is>
          <t>Printer</t>
        </is>
      </c>
      <c r="F140" t="inlineStr">
        <is>
          <t>Office</t>
        </is>
      </c>
      <c r="G140" t="n">
        <v>7</v>
      </c>
      <c r="H140" s="7" t="n">
        <v>21500</v>
      </c>
      <c r="I140" s="8" t="n">
        <v>0.03</v>
      </c>
      <c r="J140" s="7" t="n">
        <v>145985</v>
      </c>
      <c r="K140" t="inlineStr">
        <is>
          <t>Rajshahi</t>
        </is>
      </c>
      <c r="L140" t="inlineStr">
        <is>
          <t>Sakib Ahmed</t>
        </is>
      </c>
      <c r="M140" t="inlineStr">
        <is>
          <t>ABC Trading</t>
        </is>
      </c>
    </row>
    <row r="141">
      <c r="A141" t="inlineStr">
        <is>
          <t>S0140</t>
        </is>
      </c>
      <c r="B141" s="6" t="n">
        <v>46058</v>
      </c>
      <c r="C141" t="inlineStr">
        <is>
          <t>P004</t>
        </is>
      </c>
      <c r="D141" t="inlineStr">
        <is>
          <t>Wireless Keyboard</t>
        </is>
      </c>
      <c r="E141" t="inlineStr">
        <is>
          <t>Accessories</t>
        </is>
      </c>
      <c r="F141" t="inlineStr">
        <is>
          <t>Computer</t>
        </is>
      </c>
      <c r="G141" t="n">
        <v>5</v>
      </c>
      <c r="H141" s="7" t="n">
        <v>2500</v>
      </c>
      <c r="I141" s="8" t="n">
        <v>0</v>
      </c>
      <c r="J141" s="7" t="n">
        <v>12500</v>
      </c>
      <c r="K141" t="inlineStr">
        <is>
          <t>Dhaka</t>
        </is>
      </c>
      <c r="L141" t="inlineStr">
        <is>
          <t>Maliha Karim</t>
        </is>
      </c>
      <c r="M141" t="inlineStr">
        <is>
          <t>Delta Garments</t>
        </is>
      </c>
    </row>
    <row r="142">
      <c r="A142" t="inlineStr">
        <is>
          <t>S0141</t>
        </is>
      </c>
      <c r="B142" s="6" t="n">
        <v>46074</v>
      </c>
      <c r="C142" t="inlineStr">
        <is>
          <t>P008</t>
        </is>
      </c>
      <c r="D142" t="inlineStr">
        <is>
          <t>Executive Desk</t>
        </is>
      </c>
      <c r="E142" t="inlineStr">
        <is>
          <t>Furniture</t>
        </is>
      </c>
      <c r="F142" t="inlineStr">
        <is>
          <t>Office</t>
        </is>
      </c>
      <c r="G142" t="n">
        <v>3</v>
      </c>
      <c r="H142" s="7" t="n">
        <v>28500</v>
      </c>
      <c r="I142" s="8" t="n">
        <v>0.1</v>
      </c>
      <c r="J142" s="7" t="n">
        <v>76950</v>
      </c>
      <c r="K142" t="inlineStr">
        <is>
          <t>Sylhet</t>
        </is>
      </c>
      <c r="L142" t="inlineStr">
        <is>
          <t>Arafat Hossain</t>
        </is>
      </c>
      <c r="M142" t="inlineStr">
        <is>
          <t>ABC Trading</t>
        </is>
      </c>
    </row>
    <row r="143">
      <c r="A143" t="inlineStr">
        <is>
          <t>S0142</t>
        </is>
      </c>
      <c r="B143" s="6" t="n">
        <v>46189</v>
      </c>
      <c r="C143" t="inlineStr">
        <is>
          <t>P001</t>
        </is>
      </c>
      <c r="D143" t="inlineStr">
        <is>
          <t>Laptop Pro 14</t>
        </is>
      </c>
      <c r="E143" t="inlineStr">
        <is>
          <t>Laptop</t>
        </is>
      </c>
      <c r="F143" t="inlineStr">
        <is>
          <t>Computer</t>
        </is>
      </c>
      <c r="G143" t="n">
        <v>5</v>
      </c>
      <c r="H143" s="7" t="n">
        <v>78000</v>
      </c>
      <c r="I143" s="8" t="n">
        <v>0.03</v>
      </c>
      <c r="J143" s="7" t="n">
        <v>378300</v>
      </c>
      <c r="K143" t="inlineStr">
        <is>
          <t>Sylhet</t>
        </is>
      </c>
      <c r="L143" t="inlineStr">
        <is>
          <t>Maliha Karim</t>
        </is>
      </c>
      <c r="M143" t="inlineStr">
        <is>
          <t>Nova Ltd.</t>
        </is>
      </c>
    </row>
    <row r="144">
      <c r="A144" t="inlineStr">
        <is>
          <t>S0143</t>
        </is>
      </c>
      <c r="B144" s="6" t="n">
        <v>46148</v>
      </c>
      <c r="C144" t="inlineStr">
        <is>
          <t>P009</t>
        </is>
      </c>
      <c r="D144" t="inlineStr">
        <is>
          <t>UPS 1200VA</t>
        </is>
      </c>
      <c r="E144" t="inlineStr">
        <is>
          <t>Power</t>
        </is>
      </c>
      <c r="F144" t="inlineStr">
        <is>
          <t>Electronics</t>
        </is>
      </c>
      <c r="G144" t="n">
        <v>7</v>
      </c>
      <c r="H144" s="7" t="n">
        <v>9500</v>
      </c>
      <c r="I144" s="8" t="n">
        <v>0.08</v>
      </c>
      <c r="J144" s="7" t="n">
        <v>61180</v>
      </c>
      <c r="K144" t="inlineStr">
        <is>
          <t>Chattogram</t>
        </is>
      </c>
      <c r="L144" t="inlineStr">
        <is>
          <t>Nusrat Jahan</t>
        </is>
      </c>
      <c r="M144" t="inlineStr">
        <is>
          <t>Nova Ltd.</t>
        </is>
      </c>
    </row>
    <row r="145">
      <c r="A145" t="inlineStr">
        <is>
          <t>S0144</t>
        </is>
      </c>
      <c r="B145" s="6" t="n">
        <v>46063</v>
      </c>
      <c r="C145" t="inlineStr">
        <is>
          <t>P010</t>
        </is>
      </c>
      <c r="D145" t="inlineStr">
        <is>
          <t>Projector HD</t>
        </is>
      </c>
      <c r="E145" t="inlineStr">
        <is>
          <t>Projector</t>
        </is>
      </c>
      <c r="F145" t="inlineStr">
        <is>
          <t>Electronics</t>
        </is>
      </c>
      <c r="G145" t="n">
        <v>7</v>
      </c>
      <c r="H145" s="7" t="n">
        <v>32000</v>
      </c>
      <c r="I145" s="8" t="n">
        <v>0.08</v>
      </c>
      <c r="J145" s="7" t="n">
        <v>206080</v>
      </c>
      <c r="K145" t="inlineStr">
        <is>
          <t>Chattogram</t>
        </is>
      </c>
      <c r="L145" t="inlineStr">
        <is>
          <t>Maliha Karim</t>
        </is>
      </c>
      <c r="M145" t="inlineStr">
        <is>
          <t>Nova Ltd.</t>
        </is>
      </c>
    </row>
    <row r="146">
      <c r="A146" t="inlineStr">
        <is>
          <t>S0145</t>
        </is>
      </c>
      <c r="B146" s="6" t="n">
        <v>46141</v>
      </c>
      <c r="C146" t="inlineStr">
        <is>
          <t>P008</t>
        </is>
      </c>
      <c r="D146" t="inlineStr">
        <is>
          <t>Executive Desk</t>
        </is>
      </c>
      <c r="E146" t="inlineStr">
        <is>
          <t>Furniture</t>
        </is>
      </c>
      <c r="F146" t="inlineStr">
        <is>
          <t>Office</t>
        </is>
      </c>
      <c r="G146" t="n">
        <v>5</v>
      </c>
      <c r="H146" s="7" t="n">
        <v>28500</v>
      </c>
      <c r="I146" s="8" t="n">
        <v>0.05</v>
      </c>
      <c r="J146" s="7" t="n">
        <v>135375</v>
      </c>
      <c r="K146" t="inlineStr">
        <is>
          <t>Sylhet</t>
        </is>
      </c>
      <c r="L146" t="inlineStr">
        <is>
          <t>Arafat Hossain</t>
        </is>
      </c>
      <c r="M146" t="inlineStr">
        <is>
          <t>Eastland Group</t>
        </is>
      </c>
    </row>
    <row r="147">
      <c r="A147" t="inlineStr">
        <is>
          <t>S0146</t>
        </is>
      </c>
      <c r="B147" s="6" t="n">
        <v>46170</v>
      </c>
      <c r="C147" t="inlineStr">
        <is>
          <t>P009</t>
        </is>
      </c>
      <c r="D147" t="inlineStr">
        <is>
          <t>UPS 1200VA</t>
        </is>
      </c>
      <c r="E147" t="inlineStr">
        <is>
          <t>Power</t>
        </is>
      </c>
      <c r="F147" t="inlineStr">
        <is>
          <t>Electronics</t>
        </is>
      </c>
      <c r="G147" t="n">
        <v>3</v>
      </c>
      <c r="H147" s="7" t="n">
        <v>9500</v>
      </c>
      <c r="I147" s="8" t="n">
        <v>0</v>
      </c>
      <c r="J147" s="7" t="n">
        <v>28500</v>
      </c>
      <c r="K147" t="inlineStr">
        <is>
          <t>Rajshahi</t>
        </is>
      </c>
      <c r="L147" t="inlineStr">
        <is>
          <t>Tanvir Rahman</t>
        </is>
      </c>
      <c r="M147" t="inlineStr">
        <is>
          <t>GreenTech</t>
        </is>
      </c>
    </row>
    <row r="148">
      <c r="A148" t="inlineStr">
        <is>
          <t>S0147</t>
        </is>
      </c>
      <c r="B148" s="6" t="n">
        <v>46240</v>
      </c>
      <c r="C148" t="inlineStr">
        <is>
          <t>P005</t>
        </is>
      </c>
      <c r="D148" t="inlineStr">
        <is>
          <t>Wireless Mouse</t>
        </is>
      </c>
      <c r="E148" t="inlineStr">
        <is>
          <t>Accessories</t>
        </is>
      </c>
      <c r="F148" t="inlineStr">
        <is>
          <t>Computer</t>
        </is>
      </c>
      <c r="G148" t="n">
        <v>8</v>
      </c>
      <c r="H148" s="7" t="n">
        <v>1400</v>
      </c>
      <c r="I148" s="8" t="n">
        <v>0.03</v>
      </c>
      <c r="J148" s="7" t="n">
        <v>10864</v>
      </c>
      <c r="K148" t="inlineStr">
        <is>
          <t>Chattogram</t>
        </is>
      </c>
      <c r="L148" t="inlineStr">
        <is>
          <t>Maliha Karim</t>
        </is>
      </c>
      <c r="M148" t="inlineStr">
        <is>
          <t>Eastland Group</t>
        </is>
      </c>
    </row>
    <row r="149">
      <c r="A149" t="inlineStr">
        <is>
          <t>S0148</t>
        </is>
      </c>
      <c r="B149" s="6" t="n">
        <v>46077</v>
      </c>
      <c r="C149" t="inlineStr">
        <is>
          <t>P004</t>
        </is>
      </c>
      <c r="D149" t="inlineStr">
        <is>
          <t>Wireless Keyboard</t>
        </is>
      </c>
      <c r="E149" t="inlineStr">
        <is>
          <t>Accessories</t>
        </is>
      </c>
      <c r="F149" t="inlineStr">
        <is>
          <t>Computer</t>
        </is>
      </c>
      <c r="G149" t="n">
        <v>7</v>
      </c>
      <c r="H149" s="7" t="n">
        <v>2500</v>
      </c>
      <c r="I149" s="8" t="n">
        <v>0.08</v>
      </c>
      <c r="J149" s="7" t="n">
        <v>16100</v>
      </c>
      <c r="K149" t="inlineStr">
        <is>
          <t>Sylhet</t>
        </is>
      </c>
      <c r="L149" t="inlineStr">
        <is>
          <t>Sakib Ahmed</t>
        </is>
      </c>
      <c r="M149" t="inlineStr">
        <is>
          <t>GreenTech</t>
        </is>
      </c>
    </row>
    <row r="150">
      <c r="A150" t="inlineStr">
        <is>
          <t>S0149</t>
        </is>
      </c>
      <c r="B150" s="6" t="n">
        <v>46174</v>
      </c>
      <c r="C150" t="inlineStr">
        <is>
          <t>P001</t>
        </is>
      </c>
      <c r="D150" t="inlineStr">
        <is>
          <t>Laptop Pro 14</t>
        </is>
      </c>
      <c r="E150" t="inlineStr">
        <is>
          <t>Laptop</t>
        </is>
      </c>
      <c r="F150" t="inlineStr">
        <is>
          <t>Computer</t>
        </is>
      </c>
      <c r="G150" t="n">
        <v>7</v>
      </c>
      <c r="H150" s="7" t="n">
        <v>78000</v>
      </c>
      <c r="I150" s="8" t="n">
        <v>0.03</v>
      </c>
      <c r="J150" s="7" t="n">
        <v>529620</v>
      </c>
      <c r="K150" t="inlineStr">
        <is>
          <t>Dhaka</t>
        </is>
      </c>
      <c r="L150" t="inlineStr">
        <is>
          <t>Sakib Ahmed</t>
        </is>
      </c>
      <c r="M150" t="inlineStr">
        <is>
          <t>ABC Trading</t>
        </is>
      </c>
    </row>
    <row r="151">
      <c r="A151" t="inlineStr">
        <is>
          <t>S0150</t>
        </is>
      </c>
      <c r="B151" s="6" t="n">
        <v>46277</v>
      </c>
      <c r="C151" t="inlineStr">
        <is>
          <t>P005</t>
        </is>
      </c>
      <c r="D151" t="inlineStr">
        <is>
          <t>Wireless Mouse</t>
        </is>
      </c>
      <c r="E151" t="inlineStr">
        <is>
          <t>Accessories</t>
        </is>
      </c>
      <c r="F151" t="inlineStr">
        <is>
          <t>Computer</t>
        </is>
      </c>
      <c r="G151" t="n">
        <v>4</v>
      </c>
      <c r="H151" s="7" t="n">
        <v>1400</v>
      </c>
      <c r="I151" s="8" t="n">
        <v>0.08</v>
      </c>
      <c r="J151" s="7" t="n">
        <v>5152</v>
      </c>
      <c r="K151" t="inlineStr">
        <is>
          <t>Sylhet</t>
        </is>
      </c>
      <c r="L151" t="inlineStr">
        <is>
          <t>Nusrat Jahan</t>
        </is>
      </c>
      <c r="M151" t="inlineStr">
        <is>
          <t>Prime Solutions</t>
        </is>
      </c>
    </row>
    <row r="152">
      <c r="A152" t="inlineStr">
        <is>
          <t>S0151</t>
        </is>
      </c>
      <c r="B152" s="6" t="n">
        <v>46151</v>
      </c>
      <c r="C152" t="inlineStr">
        <is>
          <t>P003</t>
        </is>
      </c>
      <c r="D152" t="inlineStr">
        <is>
          <t>Office Monitor 24</t>
        </is>
      </c>
      <c r="E152" t="inlineStr">
        <is>
          <t>Monitor</t>
        </is>
      </c>
      <c r="F152" t="inlineStr">
        <is>
          <t>Computer</t>
        </is>
      </c>
      <c r="G152" t="n">
        <v>2</v>
      </c>
      <c r="H152" s="7" t="n">
        <v>18500</v>
      </c>
      <c r="I152" s="8" t="n">
        <v>0.1</v>
      </c>
      <c r="J152" s="7" t="n">
        <v>33300</v>
      </c>
      <c r="K152" t="inlineStr">
        <is>
          <t>Dhaka</t>
        </is>
      </c>
      <c r="L152" t="inlineStr">
        <is>
          <t>Tanvir Rahman</t>
        </is>
      </c>
      <c r="M152" t="inlineStr">
        <is>
          <t>Eastland Group</t>
        </is>
      </c>
    </row>
    <row r="153">
      <c r="A153" t="inlineStr">
        <is>
          <t>S0152</t>
        </is>
      </c>
      <c r="B153" s="6" t="n">
        <v>46040</v>
      </c>
      <c r="C153" t="inlineStr">
        <is>
          <t>P010</t>
        </is>
      </c>
      <c r="D153" t="inlineStr">
        <is>
          <t>Projector HD</t>
        </is>
      </c>
      <c r="E153" t="inlineStr">
        <is>
          <t>Projector</t>
        </is>
      </c>
      <c r="F153" t="inlineStr">
        <is>
          <t>Electronics</t>
        </is>
      </c>
      <c r="G153" t="n">
        <v>6</v>
      </c>
      <c r="H153" s="7" t="n">
        <v>32000</v>
      </c>
      <c r="I153" s="8" t="n">
        <v>0.1</v>
      </c>
      <c r="J153" s="7" t="n">
        <v>172800</v>
      </c>
      <c r="K153" t="inlineStr">
        <is>
          <t>Chattogram</t>
        </is>
      </c>
      <c r="L153" t="inlineStr">
        <is>
          <t>Arafat Hossain</t>
        </is>
      </c>
      <c r="M153" t="inlineStr">
        <is>
          <t>GreenTech</t>
        </is>
      </c>
    </row>
    <row r="154">
      <c r="A154" t="inlineStr">
        <is>
          <t>S0153</t>
        </is>
      </c>
      <c r="B154" s="6" t="n">
        <v>46190</v>
      </c>
      <c r="C154" t="inlineStr">
        <is>
          <t>P007</t>
        </is>
      </c>
      <c r="D154" t="inlineStr">
        <is>
          <t>Office Chair</t>
        </is>
      </c>
      <c r="E154" t="inlineStr">
        <is>
          <t>Furniture</t>
        </is>
      </c>
      <c r="F154" t="inlineStr">
        <is>
          <t>Office</t>
        </is>
      </c>
      <c r="G154" t="n">
        <v>3</v>
      </c>
      <c r="H154" s="7" t="n">
        <v>12500</v>
      </c>
      <c r="I154" s="8" t="n">
        <v>0</v>
      </c>
      <c r="J154" s="7" t="n">
        <v>37500</v>
      </c>
      <c r="K154" t="inlineStr">
        <is>
          <t>Chattogram</t>
        </is>
      </c>
      <c r="L154" t="inlineStr">
        <is>
          <t>Sakib Ahmed</t>
        </is>
      </c>
      <c r="M154" t="inlineStr">
        <is>
          <t>Metro Holdings</t>
        </is>
      </c>
    </row>
    <row r="155">
      <c r="A155" t="inlineStr">
        <is>
          <t>S0154</t>
        </is>
      </c>
      <c r="B155" s="6" t="n">
        <v>46294</v>
      </c>
      <c r="C155" t="inlineStr">
        <is>
          <t>P009</t>
        </is>
      </c>
      <c r="D155" t="inlineStr">
        <is>
          <t>UPS 1200VA</t>
        </is>
      </c>
      <c r="E155" t="inlineStr">
        <is>
          <t>Power</t>
        </is>
      </c>
      <c r="F155" t="inlineStr">
        <is>
          <t>Electronics</t>
        </is>
      </c>
      <c r="G155" t="n">
        <v>5</v>
      </c>
      <c r="H155" s="7" t="n">
        <v>9500</v>
      </c>
      <c r="I155" s="8" t="n">
        <v>0</v>
      </c>
      <c r="J155" s="7" t="n">
        <v>47500</v>
      </c>
      <c r="K155" t="inlineStr">
        <is>
          <t>Sylhet</t>
        </is>
      </c>
      <c r="L155" t="inlineStr">
        <is>
          <t>Maliha Karim</t>
        </is>
      </c>
      <c r="M155" t="inlineStr">
        <is>
          <t>GreenTech</t>
        </is>
      </c>
    </row>
    <row r="156">
      <c r="A156" t="inlineStr">
        <is>
          <t>S0155</t>
        </is>
      </c>
      <c r="B156" s="6" t="n">
        <v>46196</v>
      </c>
      <c r="C156" t="inlineStr">
        <is>
          <t>P002</t>
        </is>
      </c>
      <c r="D156" t="inlineStr">
        <is>
          <t>Business Laptop 15</t>
        </is>
      </c>
      <c r="E156" t="inlineStr">
        <is>
          <t>Laptop</t>
        </is>
      </c>
      <c r="F156" t="inlineStr">
        <is>
          <t>Computer</t>
        </is>
      </c>
      <c r="G156" t="n">
        <v>8</v>
      </c>
      <c r="H156" s="7" t="n">
        <v>62000</v>
      </c>
      <c r="I156" s="8" t="n">
        <v>0</v>
      </c>
      <c r="J156" s="7" t="n">
        <v>496000</v>
      </c>
      <c r="K156" t="inlineStr">
        <is>
          <t>Chattogram</t>
        </is>
      </c>
      <c r="L156" t="inlineStr">
        <is>
          <t>Nusrat Jahan</t>
        </is>
      </c>
      <c r="M156" t="inlineStr">
        <is>
          <t>Sunrise Pharma</t>
        </is>
      </c>
    </row>
    <row r="157">
      <c r="A157" t="inlineStr">
        <is>
          <t>S0156</t>
        </is>
      </c>
      <c r="B157" s="6" t="n">
        <v>46210</v>
      </c>
      <c r="C157" t="inlineStr">
        <is>
          <t>P002</t>
        </is>
      </c>
      <c r="D157" t="inlineStr">
        <is>
          <t>Business Laptop 15</t>
        </is>
      </c>
      <c r="E157" t="inlineStr">
        <is>
          <t>Laptop</t>
        </is>
      </c>
      <c r="F157" t="inlineStr">
        <is>
          <t>Computer</t>
        </is>
      </c>
      <c r="G157" t="n">
        <v>7</v>
      </c>
      <c r="H157" s="7" t="n">
        <v>62000</v>
      </c>
      <c r="I157" s="8" t="n">
        <v>0</v>
      </c>
      <c r="J157" s="7" t="n">
        <v>434000</v>
      </c>
      <c r="K157" t="inlineStr">
        <is>
          <t>Sylhet</t>
        </is>
      </c>
      <c r="L157" t="inlineStr">
        <is>
          <t>Sakib Ahmed</t>
        </is>
      </c>
      <c r="M157" t="inlineStr">
        <is>
          <t>Delta Garments</t>
        </is>
      </c>
    </row>
    <row r="158">
      <c r="A158" t="inlineStr">
        <is>
          <t>S0157</t>
        </is>
      </c>
      <c r="B158" s="6" t="n">
        <v>46255</v>
      </c>
      <c r="C158" t="inlineStr">
        <is>
          <t>P006</t>
        </is>
      </c>
      <c r="D158" t="inlineStr">
        <is>
          <t>Laser Printer</t>
        </is>
      </c>
      <c r="E158" t="inlineStr">
        <is>
          <t>Printer</t>
        </is>
      </c>
      <c r="F158" t="inlineStr">
        <is>
          <t>Office</t>
        </is>
      </c>
      <c r="G158" t="n">
        <v>5</v>
      </c>
      <c r="H158" s="7" t="n">
        <v>21500</v>
      </c>
      <c r="I158" s="8" t="n">
        <v>0.08</v>
      </c>
      <c r="J158" s="7" t="n">
        <v>98900</v>
      </c>
      <c r="K158" t="inlineStr">
        <is>
          <t>Rajshahi</t>
        </is>
      </c>
      <c r="L158" t="inlineStr">
        <is>
          <t>Tanvir Rahman</t>
        </is>
      </c>
      <c r="M158" t="inlineStr">
        <is>
          <t>Delta Garments</t>
        </is>
      </c>
    </row>
    <row r="159">
      <c r="A159" t="inlineStr">
        <is>
          <t>S0158</t>
        </is>
      </c>
      <c r="B159" s="6" t="n">
        <v>46142</v>
      </c>
      <c r="C159" t="inlineStr">
        <is>
          <t>P008</t>
        </is>
      </c>
      <c r="D159" t="inlineStr">
        <is>
          <t>Executive Desk</t>
        </is>
      </c>
      <c r="E159" t="inlineStr">
        <is>
          <t>Furniture</t>
        </is>
      </c>
      <c r="F159" t="inlineStr">
        <is>
          <t>Office</t>
        </is>
      </c>
      <c r="G159" t="n">
        <v>1</v>
      </c>
      <c r="H159" s="7" t="n">
        <v>28500</v>
      </c>
      <c r="I159" s="8" t="n">
        <v>0.08</v>
      </c>
      <c r="J159" s="7" t="n">
        <v>26220</v>
      </c>
      <c r="K159" t="inlineStr">
        <is>
          <t>Khulna</t>
        </is>
      </c>
      <c r="L159" t="inlineStr">
        <is>
          <t>Tanvir Rahman</t>
        </is>
      </c>
      <c r="M159" t="inlineStr">
        <is>
          <t>Prime Solutions</t>
        </is>
      </c>
    </row>
    <row r="160">
      <c r="A160" t="inlineStr">
        <is>
          <t>S0159</t>
        </is>
      </c>
      <c r="B160" s="6" t="n">
        <v>46055</v>
      </c>
      <c r="C160" t="inlineStr">
        <is>
          <t>P008</t>
        </is>
      </c>
      <c r="D160" t="inlineStr">
        <is>
          <t>Executive Desk</t>
        </is>
      </c>
      <c r="E160" t="inlineStr">
        <is>
          <t>Furniture</t>
        </is>
      </c>
      <c r="F160" t="inlineStr">
        <is>
          <t>Office</t>
        </is>
      </c>
      <c r="G160" t="n">
        <v>5</v>
      </c>
      <c r="H160" s="7" t="n">
        <v>28500</v>
      </c>
      <c r="I160" s="8" t="n">
        <v>0.1</v>
      </c>
      <c r="J160" s="7" t="n">
        <v>128250</v>
      </c>
      <c r="K160" t="inlineStr">
        <is>
          <t>Rajshahi</t>
        </is>
      </c>
      <c r="L160" t="inlineStr">
        <is>
          <t>Arafat Hossain</t>
        </is>
      </c>
      <c r="M160" t="inlineStr">
        <is>
          <t>Nova Ltd.</t>
        </is>
      </c>
    </row>
    <row r="161">
      <c r="A161" t="inlineStr">
        <is>
          <t>S0160</t>
        </is>
      </c>
      <c r="B161" s="6" t="n">
        <v>46046</v>
      </c>
      <c r="C161" t="inlineStr">
        <is>
          <t>P001</t>
        </is>
      </c>
      <c r="D161" t="inlineStr">
        <is>
          <t>Laptop Pro 14</t>
        </is>
      </c>
      <c r="E161" t="inlineStr">
        <is>
          <t>Laptop</t>
        </is>
      </c>
      <c r="F161" t="inlineStr">
        <is>
          <t>Computer</t>
        </is>
      </c>
      <c r="G161" t="n">
        <v>5</v>
      </c>
      <c r="H161" s="7" t="n">
        <v>78000</v>
      </c>
      <c r="I161" s="8" t="n">
        <v>0.05</v>
      </c>
      <c r="J161" s="7" t="n">
        <v>370500</v>
      </c>
      <c r="K161" t="inlineStr">
        <is>
          <t>Dhaka</t>
        </is>
      </c>
      <c r="L161" t="inlineStr">
        <is>
          <t>Arafat Hossain</t>
        </is>
      </c>
      <c r="M161" t="inlineStr">
        <is>
          <t>Prime Solutions</t>
        </is>
      </c>
    </row>
    <row r="162">
      <c r="A162" t="inlineStr">
        <is>
          <t>S0161</t>
        </is>
      </c>
      <c r="B162" s="6" t="n">
        <v>46092</v>
      </c>
      <c r="C162" t="inlineStr">
        <is>
          <t>P007</t>
        </is>
      </c>
      <c r="D162" t="inlineStr">
        <is>
          <t>Office Chair</t>
        </is>
      </c>
      <c r="E162" t="inlineStr">
        <is>
          <t>Furniture</t>
        </is>
      </c>
      <c r="F162" t="inlineStr">
        <is>
          <t>Office</t>
        </is>
      </c>
      <c r="G162" t="n">
        <v>8</v>
      </c>
      <c r="H162" s="7" t="n">
        <v>12500</v>
      </c>
      <c r="I162" s="8" t="n">
        <v>0.03</v>
      </c>
      <c r="J162" s="7" t="n">
        <v>97000</v>
      </c>
      <c r="K162" t="inlineStr">
        <is>
          <t>Khulna</t>
        </is>
      </c>
      <c r="L162" t="inlineStr">
        <is>
          <t>Maliha Karim</t>
        </is>
      </c>
      <c r="M162" t="inlineStr">
        <is>
          <t>Nova Ltd.</t>
        </is>
      </c>
    </row>
    <row r="163">
      <c r="A163" t="inlineStr">
        <is>
          <t>S0162</t>
        </is>
      </c>
      <c r="B163" s="6" t="n">
        <v>46235</v>
      </c>
      <c r="C163" t="inlineStr">
        <is>
          <t>P002</t>
        </is>
      </c>
      <c r="D163" t="inlineStr">
        <is>
          <t>Business Laptop 15</t>
        </is>
      </c>
      <c r="E163" t="inlineStr">
        <is>
          <t>Laptop</t>
        </is>
      </c>
      <c r="F163" t="inlineStr">
        <is>
          <t>Computer</t>
        </is>
      </c>
      <c r="G163" t="n">
        <v>8</v>
      </c>
      <c r="H163" s="7" t="n">
        <v>62000</v>
      </c>
      <c r="I163" s="8" t="n">
        <v>0.08</v>
      </c>
      <c r="J163" s="7" t="n">
        <v>456320</v>
      </c>
      <c r="K163" t="inlineStr">
        <is>
          <t>Rajshahi</t>
        </is>
      </c>
      <c r="L163" t="inlineStr">
        <is>
          <t>Tanvir Rahman</t>
        </is>
      </c>
      <c r="M163" t="inlineStr">
        <is>
          <t>ABC Trading</t>
        </is>
      </c>
    </row>
    <row r="164">
      <c r="A164" t="inlineStr">
        <is>
          <t>S0163</t>
        </is>
      </c>
      <c r="B164" s="6" t="n">
        <v>46212</v>
      </c>
      <c r="C164" t="inlineStr">
        <is>
          <t>P004</t>
        </is>
      </c>
      <c r="D164" t="inlineStr">
        <is>
          <t>Wireless Keyboard</t>
        </is>
      </c>
      <c r="E164" t="inlineStr">
        <is>
          <t>Accessories</t>
        </is>
      </c>
      <c r="F164" t="inlineStr">
        <is>
          <t>Computer</t>
        </is>
      </c>
      <c r="G164" t="n">
        <v>8</v>
      </c>
      <c r="H164" s="7" t="n">
        <v>2500</v>
      </c>
      <c r="I164" s="8" t="n">
        <v>0.05</v>
      </c>
      <c r="J164" s="7" t="n">
        <v>19000</v>
      </c>
      <c r="K164" t="inlineStr">
        <is>
          <t>Chattogram</t>
        </is>
      </c>
      <c r="L164" t="inlineStr">
        <is>
          <t>Tanvir Rahman</t>
        </is>
      </c>
      <c r="M164" t="inlineStr">
        <is>
          <t>Delta Garments</t>
        </is>
      </c>
    </row>
    <row r="165">
      <c r="A165" t="inlineStr">
        <is>
          <t>S0164</t>
        </is>
      </c>
      <c r="B165" s="6" t="n">
        <v>46211</v>
      </c>
      <c r="C165" t="inlineStr">
        <is>
          <t>P009</t>
        </is>
      </c>
      <c r="D165" t="inlineStr">
        <is>
          <t>UPS 1200VA</t>
        </is>
      </c>
      <c r="E165" t="inlineStr">
        <is>
          <t>Power</t>
        </is>
      </c>
      <c r="F165" t="inlineStr">
        <is>
          <t>Electronics</t>
        </is>
      </c>
      <c r="G165" t="n">
        <v>6</v>
      </c>
      <c r="H165" s="7" t="n">
        <v>9500</v>
      </c>
      <c r="I165" s="8" t="n">
        <v>0</v>
      </c>
      <c r="J165" s="7" t="n">
        <v>57000</v>
      </c>
      <c r="K165" t="inlineStr">
        <is>
          <t>Rajshahi</t>
        </is>
      </c>
      <c r="L165" t="inlineStr">
        <is>
          <t>Tanvir Rahman</t>
        </is>
      </c>
      <c r="M165" t="inlineStr">
        <is>
          <t>Prime Solutions</t>
        </is>
      </c>
    </row>
    <row r="166">
      <c r="A166" t="inlineStr">
        <is>
          <t>S0165</t>
        </is>
      </c>
      <c r="B166" s="6" t="n">
        <v>46085</v>
      </c>
      <c r="C166" t="inlineStr">
        <is>
          <t>P008</t>
        </is>
      </c>
      <c r="D166" t="inlineStr">
        <is>
          <t>Executive Desk</t>
        </is>
      </c>
      <c r="E166" t="inlineStr">
        <is>
          <t>Furniture</t>
        </is>
      </c>
      <c r="F166" t="inlineStr">
        <is>
          <t>Office</t>
        </is>
      </c>
      <c r="G166" t="n">
        <v>2</v>
      </c>
      <c r="H166" s="7" t="n">
        <v>28500</v>
      </c>
      <c r="I166" s="8" t="n">
        <v>0.1</v>
      </c>
      <c r="J166" s="7" t="n">
        <v>51300</v>
      </c>
      <c r="K166" t="inlineStr">
        <is>
          <t>Chattogram</t>
        </is>
      </c>
      <c r="L166" t="inlineStr">
        <is>
          <t>Sakib Ahmed</t>
        </is>
      </c>
      <c r="M166" t="inlineStr">
        <is>
          <t>ABC Trading</t>
        </is>
      </c>
    </row>
    <row r="167">
      <c r="A167" t="inlineStr">
        <is>
          <t>S0166</t>
        </is>
      </c>
      <c r="B167" s="6" t="n">
        <v>46048</v>
      </c>
      <c r="C167" t="inlineStr">
        <is>
          <t>P006</t>
        </is>
      </c>
      <c r="D167" t="inlineStr">
        <is>
          <t>Laser Printer</t>
        </is>
      </c>
      <c r="E167" t="inlineStr">
        <is>
          <t>Printer</t>
        </is>
      </c>
      <c r="F167" t="inlineStr">
        <is>
          <t>Office</t>
        </is>
      </c>
      <c r="G167" t="n">
        <v>4</v>
      </c>
      <c r="H167" s="7" t="n">
        <v>21500</v>
      </c>
      <c r="I167" s="8" t="n">
        <v>0</v>
      </c>
      <c r="J167" s="7" t="n">
        <v>86000</v>
      </c>
      <c r="K167" t="inlineStr">
        <is>
          <t>Khulna</t>
        </is>
      </c>
      <c r="L167" t="inlineStr">
        <is>
          <t>Nusrat Jahan</t>
        </is>
      </c>
      <c r="M167" t="inlineStr">
        <is>
          <t>Delta Garments</t>
        </is>
      </c>
    </row>
    <row r="168">
      <c r="A168" t="inlineStr">
        <is>
          <t>S0167</t>
        </is>
      </c>
      <c r="B168" s="6" t="n">
        <v>46129</v>
      </c>
      <c r="C168" t="inlineStr">
        <is>
          <t>P010</t>
        </is>
      </c>
      <c r="D168" t="inlineStr">
        <is>
          <t>Projector HD</t>
        </is>
      </c>
      <c r="E168" t="inlineStr">
        <is>
          <t>Projector</t>
        </is>
      </c>
      <c r="F168" t="inlineStr">
        <is>
          <t>Electronics</t>
        </is>
      </c>
      <c r="G168" t="n">
        <v>4</v>
      </c>
      <c r="H168" s="7" t="n">
        <v>32000</v>
      </c>
      <c r="I168" s="8" t="n">
        <v>0</v>
      </c>
      <c r="J168" s="7" t="n">
        <v>128000</v>
      </c>
      <c r="K168" t="inlineStr">
        <is>
          <t>Sylhet</t>
        </is>
      </c>
      <c r="L168" t="inlineStr">
        <is>
          <t>Nusrat Jahan</t>
        </is>
      </c>
      <c r="M168" t="inlineStr">
        <is>
          <t>ABC Trading</t>
        </is>
      </c>
    </row>
    <row r="169">
      <c r="A169" t="inlineStr">
        <is>
          <t>S0168</t>
        </is>
      </c>
      <c r="B169" s="6" t="n">
        <v>46164</v>
      </c>
      <c r="C169" t="inlineStr">
        <is>
          <t>P003</t>
        </is>
      </c>
      <c r="D169" t="inlineStr">
        <is>
          <t>Office Monitor 24</t>
        </is>
      </c>
      <c r="E169" t="inlineStr">
        <is>
          <t>Monitor</t>
        </is>
      </c>
      <c r="F169" t="inlineStr">
        <is>
          <t>Computer</t>
        </is>
      </c>
      <c r="G169" t="n">
        <v>3</v>
      </c>
      <c r="H169" s="7" t="n">
        <v>18500</v>
      </c>
      <c r="I169" s="8" t="n">
        <v>0.08</v>
      </c>
      <c r="J169" s="7" t="n">
        <v>51060</v>
      </c>
      <c r="K169" t="inlineStr">
        <is>
          <t>Sylhet</t>
        </is>
      </c>
      <c r="L169" t="inlineStr">
        <is>
          <t>Nusrat Jahan</t>
        </is>
      </c>
      <c r="M169" t="inlineStr">
        <is>
          <t>Delta Garments</t>
        </is>
      </c>
    </row>
    <row r="170">
      <c r="A170" t="inlineStr">
        <is>
          <t>S0169</t>
        </is>
      </c>
      <c r="B170" s="6" t="n">
        <v>46036</v>
      </c>
      <c r="C170" t="inlineStr">
        <is>
          <t>P003</t>
        </is>
      </c>
      <c r="D170" t="inlineStr">
        <is>
          <t>Office Monitor 24</t>
        </is>
      </c>
      <c r="E170" t="inlineStr">
        <is>
          <t>Monitor</t>
        </is>
      </c>
      <c r="F170" t="inlineStr">
        <is>
          <t>Computer</t>
        </is>
      </c>
      <c r="G170" t="n">
        <v>1</v>
      </c>
      <c r="H170" s="7" t="n">
        <v>18500</v>
      </c>
      <c r="I170" s="8" t="n">
        <v>0.03</v>
      </c>
      <c r="J170" s="7" t="n">
        <v>17945</v>
      </c>
      <c r="K170" t="inlineStr">
        <is>
          <t>Chattogram</t>
        </is>
      </c>
      <c r="L170" t="inlineStr">
        <is>
          <t>Sakib Ahmed</t>
        </is>
      </c>
      <c r="M170" t="inlineStr">
        <is>
          <t>Metro Holdings</t>
        </is>
      </c>
    </row>
    <row r="171">
      <c r="A171" t="inlineStr">
        <is>
          <t>S0170</t>
        </is>
      </c>
      <c r="B171" s="6" t="n">
        <v>46031</v>
      </c>
      <c r="C171" t="inlineStr">
        <is>
          <t>P003</t>
        </is>
      </c>
      <c r="D171" t="inlineStr">
        <is>
          <t>Office Monitor 24</t>
        </is>
      </c>
      <c r="E171" t="inlineStr">
        <is>
          <t>Monitor</t>
        </is>
      </c>
      <c r="F171" t="inlineStr">
        <is>
          <t>Computer</t>
        </is>
      </c>
      <c r="G171" t="n">
        <v>5</v>
      </c>
      <c r="H171" s="7" t="n">
        <v>18500</v>
      </c>
      <c r="I171" s="8" t="n">
        <v>0</v>
      </c>
      <c r="J171" s="7" t="n">
        <v>92500</v>
      </c>
      <c r="K171" t="inlineStr">
        <is>
          <t>Chattogram</t>
        </is>
      </c>
      <c r="L171" t="inlineStr">
        <is>
          <t>Maliha Karim</t>
        </is>
      </c>
      <c r="M171" t="inlineStr">
        <is>
          <t>Delta Garments</t>
        </is>
      </c>
    </row>
    <row r="172">
      <c r="A172" t="inlineStr">
        <is>
          <t>S0171</t>
        </is>
      </c>
      <c r="B172" s="6" t="n">
        <v>46055</v>
      </c>
      <c r="C172" t="inlineStr">
        <is>
          <t>P008</t>
        </is>
      </c>
      <c r="D172" t="inlineStr">
        <is>
          <t>Executive Desk</t>
        </is>
      </c>
      <c r="E172" t="inlineStr">
        <is>
          <t>Furniture</t>
        </is>
      </c>
      <c r="F172" t="inlineStr">
        <is>
          <t>Office</t>
        </is>
      </c>
      <c r="G172" t="n">
        <v>8</v>
      </c>
      <c r="H172" s="7" t="n">
        <v>28500</v>
      </c>
      <c r="I172" s="8" t="n">
        <v>0.03</v>
      </c>
      <c r="J172" s="7" t="n">
        <v>221160</v>
      </c>
      <c r="K172" t="inlineStr">
        <is>
          <t>Khulna</t>
        </is>
      </c>
      <c r="L172" t="inlineStr">
        <is>
          <t>Sakib Ahmed</t>
        </is>
      </c>
      <c r="M172" t="inlineStr">
        <is>
          <t>Delta Garments</t>
        </is>
      </c>
    </row>
    <row r="173">
      <c r="A173" t="inlineStr">
        <is>
          <t>S0172</t>
        </is>
      </c>
      <c r="B173" s="6" t="n">
        <v>46254</v>
      </c>
      <c r="C173" t="inlineStr">
        <is>
          <t>P009</t>
        </is>
      </c>
      <c r="D173" t="inlineStr">
        <is>
          <t>UPS 1200VA</t>
        </is>
      </c>
      <c r="E173" t="inlineStr">
        <is>
          <t>Power</t>
        </is>
      </c>
      <c r="F173" t="inlineStr">
        <is>
          <t>Electronics</t>
        </is>
      </c>
      <c r="G173" t="n">
        <v>4</v>
      </c>
      <c r="H173" s="7" t="n">
        <v>9500</v>
      </c>
      <c r="I173" s="8" t="n">
        <v>0.08</v>
      </c>
      <c r="J173" s="7" t="n">
        <v>34960</v>
      </c>
      <c r="K173" t="inlineStr">
        <is>
          <t>Dhaka</t>
        </is>
      </c>
      <c r="L173" t="inlineStr">
        <is>
          <t>Sakib Ahmed</t>
        </is>
      </c>
      <c r="M173" t="inlineStr">
        <is>
          <t>GreenTech</t>
        </is>
      </c>
    </row>
    <row r="174">
      <c r="A174" t="inlineStr">
        <is>
          <t>S0173</t>
        </is>
      </c>
      <c r="B174" s="6" t="n">
        <v>46257</v>
      </c>
      <c r="C174" t="inlineStr">
        <is>
          <t>P001</t>
        </is>
      </c>
      <c r="D174" t="inlineStr">
        <is>
          <t>Laptop Pro 14</t>
        </is>
      </c>
      <c r="E174" t="inlineStr">
        <is>
          <t>Laptop</t>
        </is>
      </c>
      <c r="F174" t="inlineStr">
        <is>
          <t>Computer</t>
        </is>
      </c>
      <c r="G174" t="n">
        <v>1</v>
      </c>
      <c r="H174" s="7" t="n">
        <v>78000</v>
      </c>
      <c r="I174" s="8" t="n">
        <v>0.05</v>
      </c>
      <c r="J174" s="7" t="n">
        <v>74100</v>
      </c>
      <c r="K174" t="inlineStr">
        <is>
          <t>Rajshahi</t>
        </is>
      </c>
      <c r="L174" t="inlineStr">
        <is>
          <t>Maliha Karim</t>
        </is>
      </c>
      <c r="M174" t="inlineStr">
        <is>
          <t>Delta Garments</t>
        </is>
      </c>
    </row>
    <row r="175">
      <c r="A175" t="inlineStr">
        <is>
          <t>S0174</t>
        </is>
      </c>
      <c r="B175" s="6" t="n">
        <v>46274</v>
      </c>
      <c r="C175" t="inlineStr">
        <is>
          <t>P008</t>
        </is>
      </c>
      <c r="D175" t="inlineStr">
        <is>
          <t>Executive Desk</t>
        </is>
      </c>
      <c r="E175" t="inlineStr">
        <is>
          <t>Furniture</t>
        </is>
      </c>
      <c r="F175" t="inlineStr">
        <is>
          <t>Office</t>
        </is>
      </c>
      <c r="G175" t="n">
        <v>2</v>
      </c>
      <c r="H175" s="7" t="n">
        <v>28500</v>
      </c>
      <c r="I175" s="8" t="n">
        <v>0</v>
      </c>
      <c r="J175" s="7" t="n">
        <v>57000</v>
      </c>
      <c r="K175" t="inlineStr">
        <is>
          <t>Sylhet</t>
        </is>
      </c>
      <c r="L175" t="inlineStr">
        <is>
          <t>Sakib Ahmed</t>
        </is>
      </c>
      <c r="M175" t="inlineStr">
        <is>
          <t>Nova Ltd.</t>
        </is>
      </c>
    </row>
    <row r="176">
      <c r="A176" t="inlineStr">
        <is>
          <t>S0175</t>
        </is>
      </c>
      <c r="B176" s="6" t="n">
        <v>46056</v>
      </c>
      <c r="C176" t="inlineStr">
        <is>
          <t>P003</t>
        </is>
      </c>
      <c r="D176" t="inlineStr">
        <is>
          <t>Office Monitor 24</t>
        </is>
      </c>
      <c r="E176" t="inlineStr">
        <is>
          <t>Monitor</t>
        </is>
      </c>
      <c r="F176" t="inlineStr">
        <is>
          <t>Computer</t>
        </is>
      </c>
      <c r="G176" t="n">
        <v>5</v>
      </c>
      <c r="H176" s="7" t="n">
        <v>18500</v>
      </c>
      <c r="I176" s="8" t="n">
        <v>0.08</v>
      </c>
      <c r="J176" s="7" t="n">
        <v>85100</v>
      </c>
      <c r="K176" t="inlineStr">
        <is>
          <t>Khulna</t>
        </is>
      </c>
      <c r="L176" t="inlineStr">
        <is>
          <t>Sakib Ahmed</t>
        </is>
      </c>
      <c r="M176" t="inlineStr">
        <is>
          <t>Metro Holdings</t>
        </is>
      </c>
    </row>
    <row r="177">
      <c r="A177" t="inlineStr">
        <is>
          <t>S0176</t>
        </is>
      </c>
      <c r="B177" s="6" t="n">
        <v>46218</v>
      </c>
      <c r="C177" t="inlineStr">
        <is>
          <t>P010</t>
        </is>
      </c>
      <c r="D177" t="inlineStr">
        <is>
          <t>Projector HD</t>
        </is>
      </c>
      <c r="E177" t="inlineStr">
        <is>
          <t>Projector</t>
        </is>
      </c>
      <c r="F177" t="inlineStr">
        <is>
          <t>Electronics</t>
        </is>
      </c>
      <c r="G177" t="n">
        <v>5</v>
      </c>
      <c r="H177" s="7" t="n">
        <v>32000</v>
      </c>
      <c r="I177" s="8" t="n">
        <v>0.05</v>
      </c>
      <c r="J177" s="7" t="n">
        <v>152000</v>
      </c>
      <c r="K177" t="inlineStr">
        <is>
          <t>Khulna</t>
        </is>
      </c>
      <c r="L177" t="inlineStr">
        <is>
          <t>Sakib Ahmed</t>
        </is>
      </c>
      <c r="M177" t="inlineStr">
        <is>
          <t>Sunrise Pharma</t>
        </is>
      </c>
    </row>
    <row r="178">
      <c r="A178" t="inlineStr">
        <is>
          <t>S0177</t>
        </is>
      </c>
      <c r="B178" s="6" t="n">
        <v>46073</v>
      </c>
      <c r="C178" t="inlineStr">
        <is>
          <t>P002</t>
        </is>
      </c>
      <c r="D178" t="inlineStr">
        <is>
          <t>Business Laptop 15</t>
        </is>
      </c>
      <c r="E178" t="inlineStr">
        <is>
          <t>Laptop</t>
        </is>
      </c>
      <c r="F178" t="inlineStr">
        <is>
          <t>Computer</t>
        </is>
      </c>
      <c r="G178" t="n">
        <v>4</v>
      </c>
      <c r="H178" s="7" t="n">
        <v>62000</v>
      </c>
      <c r="I178" s="8" t="n">
        <v>0.05</v>
      </c>
      <c r="J178" s="7" t="n">
        <v>235600</v>
      </c>
      <c r="K178" t="inlineStr">
        <is>
          <t>Rajshahi</t>
        </is>
      </c>
      <c r="L178" t="inlineStr">
        <is>
          <t>Nusrat Jahan</t>
        </is>
      </c>
      <c r="M178" t="inlineStr">
        <is>
          <t>Sunrise Pharma</t>
        </is>
      </c>
    </row>
    <row r="179">
      <c r="A179" t="inlineStr">
        <is>
          <t>S0178</t>
        </is>
      </c>
      <c r="B179" s="6" t="n">
        <v>46196</v>
      </c>
      <c r="C179" t="inlineStr">
        <is>
          <t>P008</t>
        </is>
      </c>
      <c r="D179" t="inlineStr">
        <is>
          <t>Executive Desk</t>
        </is>
      </c>
      <c r="E179" t="inlineStr">
        <is>
          <t>Furniture</t>
        </is>
      </c>
      <c r="F179" t="inlineStr">
        <is>
          <t>Office</t>
        </is>
      </c>
      <c r="G179" t="n">
        <v>7</v>
      </c>
      <c r="H179" s="7" t="n">
        <v>28500</v>
      </c>
      <c r="I179" s="8" t="n">
        <v>0.05</v>
      </c>
      <c r="J179" s="7" t="n">
        <v>189525</v>
      </c>
      <c r="K179" t="inlineStr">
        <is>
          <t>Dhaka</t>
        </is>
      </c>
      <c r="L179" t="inlineStr">
        <is>
          <t>Tanvir Rahman</t>
        </is>
      </c>
      <c r="M179" t="inlineStr">
        <is>
          <t>Sunrise Pharma</t>
        </is>
      </c>
    </row>
    <row r="180">
      <c r="A180" t="inlineStr">
        <is>
          <t>S0179</t>
        </is>
      </c>
      <c r="B180" s="6" t="n">
        <v>46183</v>
      </c>
      <c r="C180" t="inlineStr">
        <is>
          <t>P005</t>
        </is>
      </c>
      <c r="D180" t="inlineStr">
        <is>
          <t>Wireless Mouse</t>
        </is>
      </c>
      <c r="E180" t="inlineStr">
        <is>
          <t>Accessories</t>
        </is>
      </c>
      <c r="F180" t="inlineStr">
        <is>
          <t>Computer</t>
        </is>
      </c>
      <c r="G180" t="n">
        <v>6</v>
      </c>
      <c r="H180" s="7" t="n">
        <v>1400</v>
      </c>
      <c r="I180" s="8" t="n">
        <v>0</v>
      </c>
      <c r="J180" s="7" t="n">
        <v>8400</v>
      </c>
      <c r="K180" t="inlineStr">
        <is>
          <t>Rajshahi</t>
        </is>
      </c>
      <c r="L180" t="inlineStr">
        <is>
          <t>Arafat Hossain</t>
        </is>
      </c>
      <c r="M180" t="inlineStr">
        <is>
          <t>Delta Garments</t>
        </is>
      </c>
    </row>
    <row r="181">
      <c r="A181" t="inlineStr">
        <is>
          <t>S0180</t>
        </is>
      </c>
      <c r="B181" s="6" t="n">
        <v>46066</v>
      </c>
      <c r="C181" t="inlineStr">
        <is>
          <t>P002</t>
        </is>
      </c>
      <c r="D181" t="inlineStr">
        <is>
          <t>Business Laptop 15</t>
        </is>
      </c>
      <c r="E181" t="inlineStr">
        <is>
          <t>Laptop</t>
        </is>
      </c>
      <c r="F181" t="inlineStr">
        <is>
          <t>Computer</t>
        </is>
      </c>
      <c r="G181" t="n">
        <v>7</v>
      </c>
      <c r="H181" s="7" t="n">
        <v>62000</v>
      </c>
      <c r="I181" s="8" t="n">
        <v>0</v>
      </c>
      <c r="J181" s="7" t="n">
        <v>434000</v>
      </c>
      <c r="K181" t="inlineStr">
        <is>
          <t>Sylhet</t>
        </is>
      </c>
      <c r="L181" t="inlineStr">
        <is>
          <t>Nusrat Jahan</t>
        </is>
      </c>
      <c r="M181" t="inlineStr">
        <is>
          <t>ABC Trading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2" customWidth="1" min="5" max="5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Division</t>
        </is>
      </c>
      <c r="E1" s="5" t="inlineStr">
        <is>
          <t>Unit_Price</t>
        </is>
      </c>
    </row>
    <row r="2">
      <c r="A2" t="inlineStr">
        <is>
          <t>P001</t>
        </is>
      </c>
      <c r="B2" t="inlineStr">
        <is>
          <t>Laptop Pro 14</t>
        </is>
      </c>
      <c r="C2" t="inlineStr">
        <is>
          <t>Laptop</t>
        </is>
      </c>
      <c r="D2" t="inlineStr">
        <is>
          <t>Computer</t>
        </is>
      </c>
      <c r="E2" t="n">
        <v>78000</v>
      </c>
    </row>
    <row r="3">
      <c r="A3" t="inlineStr">
        <is>
          <t>P002</t>
        </is>
      </c>
      <c r="B3" t="inlineStr">
        <is>
          <t>Business Laptop 15</t>
        </is>
      </c>
      <c r="C3" t="inlineStr">
        <is>
          <t>Laptop</t>
        </is>
      </c>
      <c r="D3" t="inlineStr">
        <is>
          <t>Computer</t>
        </is>
      </c>
      <c r="E3" t="n">
        <v>62000</v>
      </c>
    </row>
    <row r="4">
      <c r="A4" t="inlineStr">
        <is>
          <t>P003</t>
        </is>
      </c>
      <c r="B4" t="inlineStr">
        <is>
          <t>Office Monitor 24</t>
        </is>
      </c>
      <c r="C4" t="inlineStr">
        <is>
          <t>Monitor</t>
        </is>
      </c>
      <c r="D4" t="inlineStr">
        <is>
          <t>Computer</t>
        </is>
      </c>
      <c r="E4" t="n">
        <v>18500</v>
      </c>
    </row>
    <row r="5">
      <c r="A5" t="inlineStr">
        <is>
          <t>P004</t>
        </is>
      </c>
      <c r="B5" t="inlineStr">
        <is>
          <t>Wireless Keyboard</t>
        </is>
      </c>
      <c r="C5" t="inlineStr">
        <is>
          <t>Accessories</t>
        </is>
      </c>
      <c r="D5" t="inlineStr">
        <is>
          <t>Computer</t>
        </is>
      </c>
      <c r="E5" t="n">
        <v>2500</v>
      </c>
    </row>
    <row r="6">
      <c r="A6" t="inlineStr">
        <is>
          <t>P005</t>
        </is>
      </c>
      <c r="B6" t="inlineStr">
        <is>
          <t>Wireless Mouse</t>
        </is>
      </c>
      <c r="C6" t="inlineStr">
        <is>
          <t>Accessories</t>
        </is>
      </c>
      <c r="D6" t="inlineStr">
        <is>
          <t>Computer</t>
        </is>
      </c>
      <c r="E6" t="n">
        <v>1400</v>
      </c>
    </row>
    <row r="7">
      <c r="A7" t="inlineStr">
        <is>
          <t>P006</t>
        </is>
      </c>
      <c r="B7" t="inlineStr">
        <is>
          <t>Laser Printer</t>
        </is>
      </c>
      <c r="C7" t="inlineStr">
        <is>
          <t>Printer</t>
        </is>
      </c>
      <c r="D7" t="inlineStr">
        <is>
          <t>Office</t>
        </is>
      </c>
      <c r="E7" t="n">
        <v>21500</v>
      </c>
    </row>
    <row r="8">
      <c r="A8" t="inlineStr">
        <is>
          <t>P007</t>
        </is>
      </c>
      <c r="B8" t="inlineStr">
        <is>
          <t>Office Chair</t>
        </is>
      </c>
      <c r="C8" t="inlineStr">
        <is>
          <t>Furniture</t>
        </is>
      </c>
      <c r="D8" t="inlineStr">
        <is>
          <t>Office</t>
        </is>
      </c>
      <c r="E8" t="n">
        <v>12500</v>
      </c>
    </row>
    <row r="9">
      <c r="A9" t="inlineStr">
        <is>
          <t>P008</t>
        </is>
      </c>
      <c r="B9" t="inlineStr">
        <is>
          <t>Executive Desk</t>
        </is>
      </c>
      <c r="C9" t="inlineStr">
        <is>
          <t>Furniture</t>
        </is>
      </c>
      <c r="D9" t="inlineStr">
        <is>
          <t>Office</t>
        </is>
      </c>
      <c r="E9" t="n">
        <v>28500</v>
      </c>
    </row>
    <row r="10">
      <c r="A10" t="inlineStr">
        <is>
          <t>P009</t>
        </is>
      </c>
      <c r="B10" t="inlineStr">
        <is>
          <t>UPS 1200VA</t>
        </is>
      </c>
      <c r="C10" t="inlineStr">
        <is>
          <t>Power</t>
        </is>
      </c>
      <c r="D10" t="inlineStr">
        <is>
          <t>Electronics</t>
        </is>
      </c>
      <c r="E10" t="n">
        <v>9500</v>
      </c>
    </row>
    <row r="11">
      <c r="A11" t="inlineStr">
        <is>
          <t>P010</t>
        </is>
      </c>
      <c r="B11" t="inlineStr">
        <is>
          <t>Projector HD</t>
        </is>
      </c>
      <c r="C11" t="inlineStr">
        <is>
          <t>Projector</t>
        </is>
      </c>
      <c r="D11" t="inlineStr">
        <is>
          <t>Electronics</t>
        </is>
      </c>
      <c r="E11" t="n">
        <v>32000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1" customWidth="1" min="7" max="7"/>
  </cols>
  <sheetData>
    <row r="1">
      <c r="A1" s="5" t="inlineStr">
        <is>
          <t>Product_ID</t>
        </is>
      </c>
      <c r="B1" s="5" t="inlineStr">
        <is>
          <t>Product_Name</t>
        </is>
      </c>
      <c r="C1" s="5" t="inlineStr">
        <is>
          <t>Category</t>
        </is>
      </c>
      <c r="D1" s="5" t="inlineStr">
        <is>
          <t>Units Sold</t>
        </is>
      </c>
      <c r="E1" s="5" t="inlineStr">
        <is>
          <t>Gross Sales</t>
        </is>
      </c>
      <c r="F1" s="5" t="inlineStr">
        <is>
          <t>Net Sales</t>
        </is>
      </c>
      <c r="G1" s="5" t="inlineStr">
        <is>
          <t>Avg Selling Price</t>
        </is>
      </c>
    </row>
    <row r="2">
      <c r="A2" t="inlineStr">
        <is>
          <t>P001</t>
        </is>
      </c>
      <c r="B2">
        <f>VLOOKUP(A2,Product_Master!$A$2:$E$11,2,FALSE)</f>
        <v/>
      </c>
      <c r="C2">
        <f>VLOOKUP(A2,Product_Master!$A$2:$E$11,3,FALSE)</f>
        <v/>
      </c>
      <c r="D2">
        <f>SUMIF(Sales_Data!$C:$C,A2,Sales_Data!$G:$G)</f>
        <v/>
      </c>
      <c r="E2" s="7">
        <f>SUMPRODUCT((Sales_Data!$C$2:$C$181=A2)*Sales_Data!$G$2:$G$181*Sales_Data!$H$2:$H$181)</f>
        <v/>
      </c>
      <c r="F2" s="7">
        <f>SUMIF(Sales_Data!$C:$C,A2,Sales_Data!$J:$J)</f>
        <v/>
      </c>
      <c r="G2" s="7">
        <f>IFERROR(F2/D2,0)</f>
        <v/>
      </c>
    </row>
    <row r="3">
      <c r="A3" t="inlineStr">
        <is>
          <t>P002</t>
        </is>
      </c>
      <c r="B3">
        <f>VLOOKUP(A3,Product_Master!$A$2:$E$11,2,FALSE)</f>
        <v/>
      </c>
      <c r="C3">
        <f>VLOOKUP(A3,Product_Master!$A$2:$E$11,3,FALSE)</f>
        <v/>
      </c>
      <c r="D3">
        <f>SUMIF(Sales_Data!$C:$C,A3,Sales_Data!$G:$G)</f>
        <v/>
      </c>
      <c r="E3" s="7">
        <f>SUMPRODUCT((Sales_Data!$C$2:$C$181=A3)*Sales_Data!$G$2:$G$181*Sales_Data!$H$2:$H$181)</f>
        <v/>
      </c>
      <c r="F3" s="7">
        <f>SUMIF(Sales_Data!$C:$C,A3,Sales_Data!$J:$J)</f>
        <v/>
      </c>
      <c r="G3" s="7">
        <f>IFERROR(F3/D3,0)</f>
        <v/>
      </c>
    </row>
    <row r="4">
      <c r="A4" t="inlineStr">
        <is>
          <t>P003</t>
        </is>
      </c>
      <c r="B4">
        <f>VLOOKUP(A4,Product_Master!$A$2:$E$11,2,FALSE)</f>
        <v/>
      </c>
      <c r="C4">
        <f>VLOOKUP(A4,Product_Master!$A$2:$E$11,3,FALSE)</f>
        <v/>
      </c>
      <c r="D4">
        <f>SUMIF(Sales_Data!$C:$C,A4,Sales_Data!$G:$G)</f>
        <v/>
      </c>
      <c r="E4" s="7">
        <f>SUMPRODUCT((Sales_Data!$C$2:$C$181=A4)*Sales_Data!$G$2:$G$181*Sales_Data!$H$2:$H$181)</f>
        <v/>
      </c>
      <c r="F4" s="7">
        <f>SUMIF(Sales_Data!$C:$C,A4,Sales_Data!$J:$J)</f>
        <v/>
      </c>
      <c r="G4" s="7">
        <f>IFERROR(F4/D4,0)</f>
        <v/>
      </c>
    </row>
    <row r="5">
      <c r="A5" t="inlineStr">
        <is>
          <t>P004</t>
        </is>
      </c>
      <c r="B5">
        <f>VLOOKUP(A5,Product_Master!$A$2:$E$11,2,FALSE)</f>
        <v/>
      </c>
      <c r="C5">
        <f>VLOOKUP(A5,Product_Master!$A$2:$E$11,3,FALSE)</f>
        <v/>
      </c>
      <c r="D5">
        <f>SUMIF(Sales_Data!$C:$C,A5,Sales_Data!$G:$G)</f>
        <v/>
      </c>
      <c r="E5" s="7">
        <f>SUMPRODUCT((Sales_Data!$C$2:$C$181=A5)*Sales_Data!$G$2:$G$181*Sales_Data!$H$2:$H$181)</f>
        <v/>
      </c>
      <c r="F5" s="7">
        <f>SUMIF(Sales_Data!$C:$C,A5,Sales_Data!$J:$J)</f>
        <v/>
      </c>
      <c r="G5" s="7">
        <f>IFERROR(F5/D5,0)</f>
        <v/>
      </c>
    </row>
    <row r="6">
      <c r="A6" t="inlineStr">
        <is>
          <t>P005</t>
        </is>
      </c>
      <c r="B6">
        <f>VLOOKUP(A6,Product_Master!$A$2:$E$11,2,FALSE)</f>
        <v/>
      </c>
      <c r="C6">
        <f>VLOOKUP(A6,Product_Master!$A$2:$E$11,3,FALSE)</f>
        <v/>
      </c>
      <c r="D6">
        <f>SUMIF(Sales_Data!$C:$C,A6,Sales_Data!$G:$G)</f>
        <v/>
      </c>
      <c r="E6" s="7">
        <f>SUMPRODUCT((Sales_Data!$C$2:$C$181=A6)*Sales_Data!$G$2:$G$181*Sales_Data!$H$2:$H$181)</f>
        <v/>
      </c>
      <c r="F6" s="7">
        <f>SUMIF(Sales_Data!$C:$C,A6,Sales_Data!$J:$J)</f>
        <v/>
      </c>
      <c r="G6" s="7">
        <f>IFERROR(F6/D6,0)</f>
        <v/>
      </c>
    </row>
    <row r="7">
      <c r="A7" t="inlineStr">
        <is>
          <t>P006</t>
        </is>
      </c>
      <c r="B7">
        <f>VLOOKUP(A7,Product_Master!$A$2:$E$11,2,FALSE)</f>
        <v/>
      </c>
      <c r="C7">
        <f>VLOOKUP(A7,Product_Master!$A$2:$E$11,3,FALSE)</f>
        <v/>
      </c>
      <c r="D7">
        <f>SUMIF(Sales_Data!$C:$C,A7,Sales_Data!$G:$G)</f>
        <v/>
      </c>
      <c r="E7" s="7">
        <f>SUMPRODUCT((Sales_Data!$C$2:$C$181=A7)*Sales_Data!$G$2:$G$181*Sales_Data!$H$2:$H$181)</f>
        <v/>
      </c>
      <c r="F7" s="7">
        <f>SUMIF(Sales_Data!$C:$C,A7,Sales_Data!$J:$J)</f>
        <v/>
      </c>
      <c r="G7" s="7">
        <f>IFERROR(F7/D7,0)</f>
        <v/>
      </c>
    </row>
    <row r="8">
      <c r="A8" t="inlineStr">
        <is>
          <t>P007</t>
        </is>
      </c>
      <c r="B8">
        <f>VLOOKUP(A8,Product_Master!$A$2:$E$11,2,FALSE)</f>
        <v/>
      </c>
      <c r="C8">
        <f>VLOOKUP(A8,Product_Master!$A$2:$E$11,3,FALSE)</f>
        <v/>
      </c>
      <c r="D8">
        <f>SUMIF(Sales_Data!$C:$C,A8,Sales_Data!$G:$G)</f>
        <v/>
      </c>
      <c r="E8" s="7">
        <f>SUMPRODUCT((Sales_Data!$C$2:$C$181=A8)*Sales_Data!$G$2:$G$181*Sales_Data!$H$2:$H$181)</f>
        <v/>
      </c>
      <c r="F8" s="7">
        <f>SUMIF(Sales_Data!$C:$C,A8,Sales_Data!$J:$J)</f>
        <v/>
      </c>
      <c r="G8" s="7">
        <f>IFERROR(F8/D8,0)</f>
        <v/>
      </c>
    </row>
    <row r="9">
      <c r="A9" t="inlineStr">
        <is>
          <t>P008</t>
        </is>
      </c>
      <c r="B9">
        <f>VLOOKUP(A9,Product_Master!$A$2:$E$11,2,FALSE)</f>
        <v/>
      </c>
      <c r="C9">
        <f>VLOOKUP(A9,Product_Master!$A$2:$E$11,3,FALSE)</f>
        <v/>
      </c>
      <c r="D9">
        <f>SUMIF(Sales_Data!$C:$C,A9,Sales_Data!$G:$G)</f>
        <v/>
      </c>
      <c r="E9" s="7">
        <f>SUMPRODUCT((Sales_Data!$C$2:$C$181=A9)*Sales_Data!$G$2:$G$181*Sales_Data!$H$2:$H$181)</f>
        <v/>
      </c>
      <c r="F9" s="7">
        <f>SUMIF(Sales_Data!$C:$C,A9,Sales_Data!$J:$J)</f>
        <v/>
      </c>
      <c r="G9" s="7">
        <f>IFERROR(F9/D9,0)</f>
        <v/>
      </c>
    </row>
    <row r="10">
      <c r="A10" t="inlineStr">
        <is>
          <t>P009</t>
        </is>
      </c>
      <c r="B10">
        <f>VLOOKUP(A10,Product_Master!$A$2:$E$11,2,FALSE)</f>
        <v/>
      </c>
      <c r="C10">
        <f>VLOOKUP(A10,Product_Master!$A$2:$E$11,3,FALSE)</f>
        <v/>
      </c>
      <c r="D10">
        <f>SUMIF(Sales_Data!$C:$C,A10,Sales_Data!$G:$G)</f>
        <v/>
      </c>
      <c r="E10" s="7">
        <f>SUMPRODUCT((Sales_Data!$C$2:$C$181=A10)*Sales_Data!$G$2:$G$181*Sales_Data!$H$2:$H$181)</f>
        <v/>
      </c>
      <c r="F10" s="7">
        <f>SUMIF(Sales_Data!$C:$C,A10,Sales_Data!$J:$J)</f>
        <v/>
      </c>
      <c r="G10" s="7">
        <f>IFERROR(F10/D10,0)</f>
        <v/>
      </c>
    </row>
    <row r="11">
      <c r="A11" t="inlineStr">
        <is>
          <t>P010</t>
        </is>
      </c>
      <c r="B11">
        <f>VLOOKUP(A11,Product_Master!$A$2:$E$11,2,FALSE)</f>
        <v/>
      </c>
      <c r="C11">
        <f>VLOOKUP(A11,Product_Master!$A$2:$E$11,3,FALSE)</f>
        <v/>
      </c>
      <c r="D11">
        <f>SUMIF(Sales_Data!$C:$C,A11,Sales_Data!$G:$G)</f>
        <v/>
      </c>
      <c r="E11" s="7">
        <f>SUMPRODUCT((Sales_Data!$C$2:$C$181=A11)*Sales_Data!$G$2:$G$181*Sales_Data!$H$2:$H$181)</f>
        <v/>
      </c>
      <c r="F11" s="7">
        <f>SUMIF(Sales_Data!$C:$C,A11,Sales_Data!$J:$J)</f>
        <v/>
      </c>
      <c r="G11" s="7">
        <f>IFERROR(F11/D11,0)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1" customWidth="1" min="5" max="5"/>
  </cols>
  <sheetData>
    <row r="1">
      <c r="A1" s="5" t="inlineStr">
        <is>
          <t>Month</t>
        </is>
      </c>
      <c r="B1" s="5" t="inlineStr">
        <is>
          <t>Net Sales</t>
        </is>
      </c>
      <c r="C1" s="5" t="inlineStr">
        <is>
          <t>Units</t>
        </is>
      </c>
      <c r="D1" s="5" t="inlineStr">
        <is>
          <t>Transactions</t>
        </is>
      </c>
      <c r="E1" s="5" t="inlineStr">
        <is>
          <t>Avg Order Value</t>
        </is>
      </c>
    </row>
    <row r="2">
      <c r="A2" s="9" t="n">
        <v>46023</v>
      </c>
      <c r="B2" s="7">
        <f>SUMIFS(Sales_Data!$J:$J,Sales_Data!$B:$B,"&gt;="&amp;A2,Sales_Data!$B:$B,"&lt;"&amp;DATE(YEAR(A2),MONTH(A2)+1,1))</f>
        <v/>
      </c>
      <c r="C2">
        <f>SUMIFS(Sales_Data!$G:$G,Sales_Data!$B:$B,"&gt;="&amp;A2,Sales_Data!$B:$B,"&lt;"&amp;DATE(YEAR(A2),MONTH(A2)+1,1))</f>
        <v/>
      </c>
      <c r="D2">
        <f>COUNTIFS(Sales_Data!$B:$B,"&gt;="&amp;A2,Sales_Data!$B:$B,"&lt;"&amp;DATE(YEAR(A2),MONTH(A2)+1,1))</f>
        <v/>
      </c>
      <c r="E2" s="7">
        <f>IFERROR(B2/D2,0)</f>
        <v/>
      </c>
    </row>
    <row r="3">
      <c r="A3" s="9" t="n">
        <v>46054</v>
      </c>
      <c r="B3" s="7">
        <f>SUMIFS(Sales_Data!$J:$J,Sales_Data!$B:$B,"&gt;="&amp;A3,Sales_Data!$B:$B,"&lt;"&amp;DATE(YEAR(A3),MONTH(A3)+1,1))</f>
        <v/>
      </c>
      <c r="C3">
        <f>SUMIFS(Sales_Data!$G:$G,Sales_Data!$B:$B,"&gt;="&amp;A3,Sales_Data!$B:$B,"&lt;"&amp;DATE(YEAR(A3),MONTH(A3)+1,1))</f>
        <v/>
      </c>
      <c r="D3">
        <f>COUNTIFS(Sales_Data!$B:$B,"&gt;="&amp;A3,Sales_Data!$B:$B,"&lt;"&amp;DATE(YEAR(A3),MONTH(A3)+1,1))</f>
        <v/>
      </c>
      <c r="E3" s="7">
        <f>IFERROR(B3/D3,0)</f>
        <v/>
      </c>
    </row>
    <row r="4">
      <c r="A4" s="9" t="n">
        <v>46082</v>
      </c>
      <c r="B4" s="7">
        <f>SUMIFS(Sales_Data!$J:$J,Sales_Data!$B:$B,"&gt;="&amp;A4,Sales_Data!$B:$B,"&lt;"&amp;DATE(YEAR(A4),MONTH(A4)+1,1))</f>
        <v/>
      </c>
      <c r="C4">
        <f>SUMIFS(Sales_Data!$G:$G,Sales_Data!$B:$B,"&gt;="&amp;A4,Sales_Data!$B:$B,"&lt;"&amp;DATE(YEAR(A4),MONTH(A4)+1,1))</f>
        <v/>
      </c>
      <c r="D4">
        <f>COUNTIFS(Sales_Data!$B:$B,"&gt;="&amp;A4,Sales_Data!$B:$B,"&lt;"&amp;DATE(YEAR(A4),MONTH(A4)+1,1))</f>
        <v/>
      </c>
      <c r="E4" s="7">
        <f>IFERROR(B4/D4,0)</f>
        <v/>
      </c>
    </row>
    <row r="5">
      <c r="A5" s="9" t="n">
        <v>46113</v>
      </c>
      <c r="B5" s="7">
        <f>SUMIFS(Sales_Data!$J:$J,Sales_Data!$B:$B,"&gt;="&amp;A5,Sales_Data!$B:$B,"&lt;"&amp;DATE(YEAR(A5),MONTH(A5)+1,1))</f>
        <v/>
      </c>
      <c r="C5">
        <f>SUMIFS(Sales_Data!$G:$G,Sales_Data!$B:$B,"&gt;="&amp;A5,Sales_Data!$B:$B,"&lt;"&amp;DATE(YEAR(A5),MONTH(A5)+1,1))</f>
        <v/>
      </c>
      <c r="D5">
        <f>COUNTIFS(Sales_Data!$B:$B,"&gt;="&amp;A5,Sales_Data!$B:$B,"&lt;"&amp;DATE(YEAR(A5),MONTH(A5)+1,1))</f>
        <v/>
      </c>
      <c r="E5" s="7">
        <f>IFERROR(B5/D5,0)</f>
        <v/>
      </c>
    </row>
    <row r="6">
      <c r="A6" s="9" t="n">
        <v>46143</v>
      </c>
      <c r="B6" s="7">
        <f>SUMIFS(Sales_Data!$J:$J,Sales_Data!$B:$B,"&gt;="&amp;A6,Sales_Data!$B:$B,"&lt;"&amp;DATE(YEAR(A6),MONTH(A6)+1,1))</f>
        <v/>
      </c>
      <c r="C6">
        <f>SUMIFS(Sales_Data!$G:$G,Sales_Data!$B:$B,"&gt;="&amp;A6,Sales_Data!$B:$B,"&lt;"&amp;DATE(YEAR(A6),MONTH(A6)+1,1))</f>
        <v/>
      </c>
      <c r="D6">
        <f>COUNTIFS(Sales_Data!$B:$B,"&gt;="&amp;A6,Sales_Data!$B:$B,"&lt;"&amp;DATE(YEAR(A6),MONTH(A6)+1,1))</f>
        <v/>
      </c>
      <c r="E6" s="7">
        <f>IFERROR(B6/D6,0)</f>
        <v/>
      </c>
    </row>
    <row r="7">
      <c r="A7" s="9" t="n">
        <v>46174</v>
      </c>
      <c r="B7" s="7">
        <f>SUMIFS(Sales_Data!$J:$J,Sales_Data!$B:$B,"&gt;="&amp;A7,Sales_Data!$B:$B,"&lt;"&amp;DATE(YEAR(A7),MONTH(A7)+1,1))</f>
        <v/>
      </c>
      <c r="C7">
        <f>SUMIFS(Sales_Data!$G:$G,Sales_Data!$B:$B,"&gt;="&amp;A7,Sales_Data!$B:$B,"&lt;"&amp;DATE(YEAR(A7),MONTH(A7)+1,1))</f>
        <v/>
      </c>
      <c r="D7">
        <f>COUNTIFS(Sales_Data!$B:$B,"&gt;="&amp;A7,Sales_Data!$B:$B,"&lt;"&amp;DATE(YEAR(A7),MONTH(A7)+1,1))</f>
        <v/>
      </c>
      <c r="E7" s="7">
        <f>IFERROR(B7/D7,0)</f>
        <v/>
      </c>
    </row>
    <row r="8">
      <c r="A8" s="9" t="n">
        <v>46204</v>
      </c>
      <c r="B8" s="7">
        <f>SUMIFS(Sales_Data!$J:$J,Sales_Data!$B:$B,"&gt;="&amp;A8,Sales_Data!$B:$B,"&lt;"&amp;DATE(YEAR(A8),MONTH(A8)+1,1))</f>
        <v/>
      </c>
      <c r="C8">
        <f>SUMIFS(Sales_Data!$G:$G,Sales_Data!$B:$B,"&gt;="&amp;A8,Sales_Data!$B:$B,"&lt;"&amp;DATE(YEAR(A8),MONTH(A8)+1,1))</f>
        <v/>
      </c>
      <c r="D8">
        <f>COUNTIFS(Sales_Data!$B:$B,"&gt;="&amp;A8,Sales_Data!$B:$B,"&lt;"&amp;DATE(YEAR(A8),MONTH(A8)+1,1))</f>
        <v/>
      </c>
      <c r="E8" s="7">
        <f>IFERROR(B8/D8,0)</f>
        <v/>
      </c>
    </row>
    <row r="9">
      <c r="A9" s="9" t="n">
        <v>46235</v>
      </c>
      <c r="B9" s="7">
        <f>SUMIFS(Sales_Data!$J:$J,Sales_Data!$B:$B,"&gt;="&amp;A9,Sales_Data!$B:$B,"&lt;"&amp;DATE(YEAR(A9),MONTH(A9)+1,1))</f>
        <v/>
      </c>
      <c r="C9">
        <f>SUMIFS(Sales_Data!$G:$G,Sales_Data!$B:$B,"&gt;="&amp;A9,Sales_Data!$B:$B,"&lt;"&amp;DATE(YEAR(A9),MONTH(A9)+1,1))</f>
        <v/>
      </c>
      <c r="D9">
        <f>COUNTIFS(Sales_Data!$B:$B,"&gt;="&amp;A9,Sales_Data!$B:$B,"&lt;"&amp;DATE(YEAR(A9),MONTH(A9)+1,1))</f>
        <v/>
      </c>
      <c r="E9" s="7">
        <f>IFERROR(B9/D9,0)</f>
        <v/>
      </c>
    </row>
    <row r="10">
      <c r="A10" s="9" t="n">
        <v>46266</v>
      </c>
      <c r="B10" s="7">
        <f>SUMIFS(Sales_Data!$J:$J,Sales_Data!$B:$B,"&gt;="&amp;A10,Sales_Data!$B:$B,"&lt;"&amp;DATE(YEAR(A10),MONTH(A10)+1,1))</f>
        <v/>
      </c>
      <c r="C10">
        <f>SUMIFS(Sales_Data!$G:$G,Sales_Data!$B:$B,"&gt;="&amp;A10,Sales_Data!$B:$B,"&lt;"&amp;DATE(YEAR(A10),MONTH(A10)+1,1))</f>
        <v/>
      </c>
      <c r="D10">
        <f>COUNTIFS(Sales_Data!$B:$B,"&gt;="&amp;A10,Sales_Data!$B:$B,"&lt;"&amp;DATE(YEAR(A10),MONTH(A10)+1,1))</f>
        <v/>
      </c>
      <c r="E10" s="7">
        <f>IFERROR(B10/D10,0)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t="inlineStr">
        <is>
          <t>Project</t>
        </is>
      </c>
      <c r="B1" t="inlineStr">
        <is>
          <t>Sales Performance &amp; MIS Dashboard</t>
        </is>
      </c>
    </row>
    <row r="2">
      <c r="A2" t="inlineStr">
        <is>
          <t>Purpose</t>
        </is>
      </c>
      <c r="B2" t="inlineStr">
        <is>
          <t>Practice project for Excel MIS, sales analysis, KPI reporting and management dashboards.</t>
        </is>
      </c>
    </row>
    <row r="3">
      <c r="A3" t="inlineStr">
        <is>
          <t>Key Excel Skills</t>
        </is>
      </c>
      <c r="B3" t="inlineStr">
        <is>
          <t>VLOOKUP, SUMIF/SUMIFS, SUMPRODUCT, Pivot-style summaries, charts, KPI dashboard, conditional formatting.</t>
        </is>
      </c>
    </row>
    <row r="4">
      <c r="A4" t="inlineStr">
        <is>
          <t>Sheets</t>
        </is>
      </c>
      <c r="B4" t="inlineStr">
        <is>
          <t>Dashboard, Sales_Data, Product_Master, Sales_Analysis, Monthly_Report, README</t>
        </is>
      </c>
    </row>
    <row r="5">
      <c r="A5" t="inlineStr">
        <is>
          <t>Resume Use</t>
        </is>
      </c>
      <c r="B5" t="inlineStr">
        <is>
          <t>List as an Excel-based MIS practice/project after completing and understanding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2026-10-06T15:45:17Z</dcterms:created>
  <dcterms:modified xmlns:dcterms="http://purl.org/dc/terms/" xmlns:xsi="http://www.w3.org/2001/XMLSchema-instance" xsi:type="dcterms:W3CDTF">2026-10-06T15:45:17Z</dcterms:modified>
</cp:coreProperties>
</file>